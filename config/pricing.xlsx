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sang\eclipse-workspace\Aiccounting\config\"/>
    </mc:Choice>
  </mc:AlternateContent>
  <xr:revisionPtr revIDLastSave="0" documentId="13_ncr:1_{1033A3A9-28A8-405E-AA38-58A75E33AF54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ACCOUNTSHQ" sheetId="1" r:id="rId1"/>
    <sheet name="Countries" sheetId="2" r:id="rId2"/>
    <sheet name="RWAHQ" sheetId="3" r:id="rId3"/>
    <sheet name="HOAHQ" sheetId="4" r:id="rId4"/>
    <sheet name="BOOKSHQ" sheetId="5" r:id="rId5"/>
    <sheet name="Tiers_tradeHQ" sheetId="6" r:id="rId6"/>
    <sheet name="PlanFeatures_tradeHQ" sheetId="7" r:id="rId7"/>
  </sheets>
  <calcPr calcId="191029"/>
</workbook>
</file>

<file path=xl/calcChain.xml><?xml version="1.0" encoding="utf-8"?>
<calcChain xmlns="http://schemas.openxmlformats.org/spreadsheetml/2006/main">
  <c r="E5" i="5" l="1"/>
  <c r="D5" i="5"/>
</calcChain>
</file>

<file path=xl/sharedStrings.xml><?xml version="1.0" encoding="utf-8"?>
<sst xmlns="http://schemas.openxmlformats.org/spreadsheetml/2006/main" count="1160" uniqueCount="308">
  <si>
    <t>Accounts HQ - one sheet: prices, limits, features (baked into the build). Home market = India (INR); per-country prices on the Countries tab.</t>
  </si>
  <si>
    <t>Cells: NUMBER = per-tier quota/limit; Y = included; blank = excluded. row_type tells the baker how to read each row. DEMO = full-feature trial.</t>
  </si>
  <si>
    <t>row_type</t>
  </si>
  <si>
    <t>feature</t>
  </si>
  <si>
    <t>id</t>
  </si>
  <si>
    <t>DEMO</t>
  </si>
  <si>
    <t>FREE</t>
  </si>
  <si>
    <t>STANDARD</t>
  </si>
  <si>
    <t>PRO</t>
  </si>
  <si>
    <t>PREMIUM</t>
  </si>
  <si>
    <t>upgrade_to</t>
  </si>
  <si>
    <t>notes</t>
  </si>
  <si>
    <t>meta</t>
  </si>
  <si>
    <t>Plan name</t>
  </si>
  <si>
    <t>tier_name</t>
  </si>
  <si>
    <t>Demo</t>
  </si>
  <si>
    <t>Free</t>
  </si>
  <si>
    <t>Standard</t>
  </si>
  <si>
    <t>Pro</t>
  </si>
  <si>
    <t>Premium</t>
  </si>
  <si>
    <t>Display names</t>
  </si>
  <si>
    <t>price</t>
  </si>
  <si>
    <t>Annual price (INR)</t>
  </si>
  <si>
    <t>price_annual_INR</t>
  </si>
  <si>
    <t>Home market (INR/yr). International prices on the Countries tab.</t>
  </si>
  <si>
    <t>limit</t>
  </si>
  <si>
    <t>Users included</t>
  </si>
  <si>
    <t>seats</t>
  </si>
  <si>
    <t>Concurrent users</t>
  </si>
  <si>
    <t>Transactions / year</t>
  </si>
  <si>
    <t>txn_limit</t>
  </si>
  <si>
    <t>Transactions/yr (hard cap on DEMO/FREE, soft on paid)</t>
  </si>
  <si>
    <t>rate</t>
  </si>
  <si>
    <t>Overage rate</t>
  </si>
  <si>
    <t>overage_rate</t>
  </si>
  <si>
    <t>Per-txn overage beyond limit (0 = soft cap)</t>
  </si>
  <si>
    <t>Plan summary</t>
  </si>
  <si>
    <t>tier_notes</t>
  </si>
  <si>
    <t>Full-feature trial, hard-capped at txn_limit. Mirrors PREMIUM features.</t>
  </si>
  <si>
    <t>Permanent free tier — basic features only.</t>
  </si>
  <si>
    <t>Reports, exports, reconciliation, 2 users.</t>
  </si>
  <si>
    <t>GST, TDS, AI document reader, 5 users.</t>
  </si>
  <si>
    <t>All features incl. WhatsApp, audit export, API.</t>
  </si>
  <si>
    <t>Per-tier notes</t>
  </si>
  <si>
    <t>Record transactions</t>
  </si>
  <si>
    <t>vouchers</t>
  </si>
  <si>
    <t>Y</t>
  </si>
  <si>
    <t>Core</t>
  </si>
  <si>
    <t>Transaction journal</t>
  </si>
  <si>
    <t>daybook</t>
  </si>
  <si>
    <t>Account balances</t>
  </si>
  <si>
    <t>ledger_balances</t>
  </si>
  <si>
    <t>Backup &amp; restore</t>
  </si>
  <si>
    <t>backup</t>
  </si>
  <si>
    <t>Sticky date entry</t>
  </si>
  <si>
    <t>sticky_voucher_date</t>
  </si>
  <si>
    <t>Productivity</t>
  </si>
  <si>
    <t>Split transactions</t>
  </si>
  <si>
    <t>multi_party_voucher</t>
  </si>
  <si>
    <t>2 users</t>
  </si>
  <si>
    <t>multi_user_2</t>
  </si>
  <si>
    <t>Users</t>
  </si>
  <si>
    <t>5 users</t>
  </si>
  <si>
    <t>multi_user_5</t>
  </si>
  <si>
    <t>Unlimited users</t>
  </si>
  <si>
    <t>multi_user_unlimited</t>
  </si>
  <si>
    <t>Trial Balance</t>
  </si>
  <si>
    <t>trial_balance</t>
  </si>
  <si>
    <t>Reports</t>
  </si>
  <si>
    <t>Profit &amp; Loss</t>
  </si>
  <si>
    <t>profit_loss</t>
  </si>
  <si>
    <t>Balance Sheet</t>
  </si>
  <si>
    <t>balance_sheet</t>
  </si>
  <si>
    <t>Cash register</t>
  </si>
  <si>
    <t>cash_book</t>
  </si>
  <si>
    <t>Bank register</t>
  </si>
  <si>
    <t>bank_book</t>
  </si>
  <si>
    <t>Account ledger</t>
  </si>
  <si>
    <t>ledger_account</t>
  </si>
  <si>
    <t>Receipts &amp; Payments</t>
  </si>
  <si>
    <t>receipts_payments</t>
  </si>
  <si>
    <t>Receivables aging</t>
  </si>
  <si>
    <t>receivables_aging</t>
  </si>
  <si>
    <t>Excel / CSV export</t>
  </si>
  <si>
    <t>export_excel</t>
  </si>
  <si>
    <t>Output</t>
  </si>
  <si>
    <t>PDF export</t>
  </si>
  <si>
    <t>export_pdf</t>
  </si>
  <si>
    <t>Print</t>
  </si>
  <si>
    <t>print</t>
  </si>
  <si>
    <t>Email reports</t>
  </si>
  <si>
    <t>email_report</t>
  </si>
  <si>
    <t>Bank reconciliation</t>
  </si>
  <si>
    <t>bank_reconciliation</t>
  </si>
  <si>
    <t>Reconciliation</t>
  </si>
  <si>
    <t>Bank match (1-to-many)</t>
  </si>
  <si>
    <t>bank_reco_split</t>
  </si>
  <si>
    <t>Account reconciliation</t>
  </si>
  <si>
    <t>ledger_reconciliation</t>
  </si>
  <si>
    <t>Account match (1-to-many)</t>
  </si>
  <si>
    <t>ledger_reco_split</t>
  </si>
  <si>
    <t>Migrate existing books</t>
  </si>
  <si>
    <t>book_migration</t>
  </si>
  <si>
    <t>Migration</t>
  </si>
  <si>
    <t>GST returns</t>
  </si>
  <si>
    <t>gst</t>
  </si>
  <si>
    <t>Tax</t>
  </si>
  <si>
    <t>TDS (tax deducted at source)</t>
  </si>
  <si>
    <t>tds</t>
  </si>
  <si>
    <t>AI receipt &amp; bill reader</t>
  </si>
  <si>
    <t>ai_document_reader</t>
  </si>
  <si>
    <t>AI</t>
  </si>
  <si>
    <t>Voice entry</t>
  </si>
  <si>
    <t>verbal_entry</t>
  </si>
  <si>
    <t>Auto / recurring billing</t>
  </si>
  <si>
    <t>auto_billing</t>
  </si>
  <si>
    <t>WhatsApp invoices</t>
  </si>
  <si>
    <t>whatsapp</t>
  </si>
  <si>
    <t>Enterprise</t>
  </si>
  <si>
    <t>Audit export</t>
  </si>
  <si>
    <t>audit_export</t>
  </si>
  <si>
    <t>API access</t>
  </si>
  <si>
    <t>api_access</t>
  </si>
  <si>
    <t>Industry verticals</t>
  </si>
  <si>
    <t>verticals</t>
  </si>
  <si>
    <t>Compliance pack</t>
  </si>
  <si>
    <t>compliance</t>
  </si>
  <si>
    <t>Compliance</t>
  </si>
  <si>
    <t>Document inbox</t>
  </si>
  <si>
    <t>document_inbox</t>
  </si>
  <si>
    <t>Bill-wise referencing</t>
  </si>
  <si>
    <t>bill_wise_refs</t>
  </si>
  <si>
    <t>Accounting</t>
  </si>
  <si>
    <t>Payables aging</t>
  </si>
  <si>
    <t>payables_aging</t>
  </si>
  <si>
    <t>Cash-flow planning</t>
  </si>
  <si>
    <t>cash_flow_planning</t>
  </si>
  <si>
    <t>Per-country pricing — one row per country</t>
  </si>
  <si>
    <t>Tier price columns hold the per-year price in this country's currency. Leave a tier's price blank if the tier is not sold in this country. active=Y to expose the country in the upgrade UI.</t>
  </si>
  <si>
    <t>country_code</t>
  </si>
  <si>
    <t>country_name</t>
  </si>
  <si>
    <t>currency_code</t>
  </si>
  <si>
    <t>currency_symbol</t>
  </si>
  <si>
    <t>price_DEMO</t>
  </si>
  <si>
    <t>price_FREE</t>
  </si>
  <si>
    <t>price_STANDARD</t>
  </si>
  <si>
    <t>price_PRO</t>
  </si>
  <si>
    <t>price_PREMIUM</t>
  </si>
  <si>
    <t>active</t>
  </si>
  <si>
    <t>IN</t>
  </si>
  <si>
    <t>India</t>
  </si>
  <si>
    <t>INR</t>
  </si>
  <si>
    <t>Rs.</t>
  </si>
  <si>
    <t>Home market. Prices in INR per year.</t>
  </si>
  <si>
    <t>US</t>
  </si>
  <si>
    <t>United States</t>
  </si>
  <si>
    <t>USD</t>
  </si>
  <si>
    <t>$</t>
  </si>
  <si>
    <t>Fill USD prices.</t>
  </si>
  <si>
    <t>SG</t>
  </si>
  <si>
    <t>Singapore</t>
  </si>
  <si>
    <t>SGD</t>
  </si>
  <si>
    <t>S$</t>
  </si>
  <si>
    <t>Fill SGD prices.</t>
  </si>
  <si>
    <t>AE</t>
  </si>
  <si>
    <t>United Arab Emirates</t>
  </si>
  <si>
    <t>AED</t>
  </si>
  <si>
    <t>Fill AED prices.</t>
  </si>
  <si>
    <t>RWA HQ - one sheet: prices, limits, quotas, features (baked into the build)</t>
  </si>
  <si>
    <t>Cells: a NUMBER = the per-tier quota/limit; Y = included; blank = excluded/unlimited. row_type tells the baker how to read each row.</t>
  </si>
  <si>
    <t>Annual price (Rs)</t>
  </si>
  <si>
    <t>Monthly (INR)</t>
  </si>
  <si>
    <t>price_monthly_INR</t>
  </si>
  <si>
    <t>Monthly option ~= 11% of annual</t>
  </si>
  <si>
    <t>Flats / units cap</t>
  </si>
  <si>
    <t>flats</t>
  </si>
  <si>
    <t>Capacity cap; blank = unlimited</t>
  </si>
  <si>
    <t>Same as Accounts HQ</t>
  </si>
  <si>
    <t>Rs per txn beyond limit (0 = soft cap, no charge)</t>
  </si>
  <si>
    <t>quota</t>
  </si>
  <si>
    <t>Notices / month</t>
  </si>
  <si>
    <t>notices_per_month</t>
  </si>
  <si>
    <t>Society notices/mo; blank = unlimited</t>
  </si>
  <si>
    <t>Free promos / month</t>
  </si>
  <si>
    <t>free_promos_per_month</t>
  </si>
  <si>
    <t>Free promo sends/mo</t>
  </si>
  <si>
    <t>Flat / unit ledger</t>
  </si>
  <si>
    <t>rwa_flat_ledger</t>
  </si>
  <si>
    <t>Receipt tracking</t>
  </si>
  <si>
    <t>rwa_receipt_tracking</t>
  </si>
  <si>
    <t>Member directory</t>
  </si>
  <si>
    <t>rwa_member_directory</t>
  </si>
  <si>
    <t>Notice board</t>
  </si>
  <si>
    <t>rwa_notice_board</t>
  </si>
  <si>
    <t>Complaint tracking</t>
  </si>
  <si>
    <t>rwa_complaint_tracking</t>
  </si>
  <si>
    <t>Broadcast messaging</t>
  </si>
  <si>
    <t>rwa_broadcast_messaging</t>
  </si>
  <si>
    <t>Polls &amp; voting</t>
  </si>
  <si>
    <t>rwa_polls</t>
  </si>
  <si>
    <t>Visitor passes</t>
  </si>
  <si>
    <t>rwa_visitor_pass</t>
  </si>
  <si>
    <t>Basic reports</t>
  </si>
  <si>
    <t>rwa_basic_reports</t>
  </si>
  <si>
    <t>Auto maintenance billing</t>
  </si>
  <si>
    <t>rwa_auto_billing</t>
  </si>
  <si>
    <t>Billing</t>
  </si>
  <si>
    <t>Late fees</t>
  </si>
  <si>
    <t>rwa_late_fees</t>
  </si>
  <si>
    <t>Facilities booking</t>
  </si>
  <si>
    <t>rwa_facilities_booking</t>
  </si>
  <si>
    <t>Ops</t>
  </si>
  <si>
    <t>Asset register</t>
  </si>
  <si>
    <t>rwa_asset_register</t>
  </si>
  <si>
    <t>Advanced reports</t>
  </si>
  <si>
    <t>rwa_advanced_reports</t>
  </si>
  <si>
    <t>rwa_whatsapp_invoices</t>
  </si>
  <si>
    <t>Comms</t>
  </si>
  <si>
    <t>Document storage</t>
  </si>
  <si>
    <t>rwa_document_storage</t>
  </si>
  <si>
    <t>Vendor management</t>
  </si>
  <si>
    <t>rwa_vendor_management</t>
  </si>
  <si>
    <t>HOA HQ - one sheet: prices, limits, quotas, features (baked into the build). International sibling of RWA HQ - same code, USD pricing.</t>
  </si>
  <si>
    <t>Annual price (USD)</t>
  </si>
  <si>
    <t>price_annual_USD</t>
  </si>
  <si>
    <t>Annual price (USD), billed annually</t>
  </si>
  <si>
    <t>Monthly (USD)</t>
  </si>
  <si>
    <t>price_monthly_USD</t>
  </si>
  <si>
    <t>US display only: monthly-equivalent = annual/12, billed annually (NOT a separate monthly plan)</t>
  </si>
  <si>
    <t>Units cap</t>
  </si>
  <si>
    <t>units</t>
  </si>
  <si>
    <t>Capacity cap (homes/lots); blank = unlimited</t>
  </si>
  <si>
    <t>USD per txn beyond limit (0 = soft cap, no charge)</t>
  </si>
  <si>
    <t>Association notices/mo; blank = unlimited</t>
  </si>
  <si>
    <t>Books HQ - lite Accounts HQ for the US (USD). DRAFT: tiers &amp; gating to confirm, USD prices TBD. Shares the Accounts HQ engine - feature-ids kept where the feature is identical (US label in notes). Payroll is OUT of scope (use Gusto/ADP; import the journal later).</t>
  </si>
  <si>
    <t>row_type: price/limit/rate/quota = numeric per tier; feature = Y/blank per tier; meta = labels/notes. "Snap a receipt -&gt; AI books it" is the wedge - metered on Free.</t>
  </si>
  <si>
    <t>USD/yr - TBD (benchmark: Wave free / QBO Simple Start ~$35/mo)</t>
  </si>
  <si>
    <t>Transactions/yr (draft)</t>
  </si>
  <si>
    <t>AI receipts / month</t>
  </si>
  <si>
    <t>receipts_per_month</t>
  </si>
  <si>
    <t>AI receipts/mo (the wedge); blank = unlimited</t>
  </si>
  <si>
    <t>Per-txn overage (0 = soft cap)</t>
  </si>
  <si>
    <t>Full-feature trial.</t>
  </si>
  <si>
    <t>Invoicing + basic books + a taste of AI receipt reading (Wave-style free).</t>
  </si>
  <si>
    <t>Full bookkeeping: bank reconciliation, A/R-A/P aging, migration.</t>
  </si>
  <si>
    <t>Adds AI receipts at volume, US sales tax &amp; 1099.</t>
  </si>
  <si>
    <t>Everything, unlimited.</t>
  </si>
  <si>
    <t>Core - Transactions / journal entries</t>
  </si>
  <si>
    <t>Core - Journal (transaction list)</t>
  </si>
  <si>
    <t>Core - General ledger + account balances</t>
  </si>
  <si>
    <t>Core - Backup &amp; restore (data stays on your PC)</t>
  </si>
  <si>
    <t>Productivity - Sticky date for batch entry</t>
  </si>
  <si>
    <t>Productivity - Split (multi-account) entries</t>
  </si>
  <si>
    <t>Branded invoices</t>
  </si>
  <si>
    <t>invoicing</t>
  </si>
  <si>
    <t>Invoicing - Branded invoices, email/SMS delivery, reminders</t>
  </si>
  <si>
    <t>Online payments (PayPal / Stripe / Square)</t>
  </si>
  <si>
    <t>online_payments</t>
  </si>
  <si>
    <t>Invoicing - Connect your PayPal / Stripe / Square; pay-link on invoice, money goes straight to you, auto-reconciled (we never hold funds)</t>
  </si>
  <si>
    <t>Invoicing - Recurring invoices / auto-billing</t>
  </si>
  <si>
    <t>AI - Snap a receipt/bill -&gt; AI drafts the entry. Metered on Free (see receipts_per_month). THE wedge</t>
  </si>
  <si>
    <t>AI - Receipt/bill inbox: review &amp; approve AI drafts</t>
  </si>
  <si>
    <t>Reports - Trial Balance</t>
  </si>
  <si>
    <t>Reports - Profit &amp; Loss (Income Statement)</t>
  </si>
  <si>
    <t>Reports - Balance Sheet</t>
  </si>
  <si>
    <t>Reports - Cash account register</t>
  </si>
  <si>
    <t>Reports - Bank account register</t>
  </si>
  <si>
    <t>Reports - Account ledger / transaction detail</t>
  </si>
  <si>
    <t>Reports - Receipts &amp; Payments summary</t>
  </si>
  <si>
    <t>Output - Export to Excel/CSV</t>
  </si>
  <si>
    <t>Output - Export to PDF</t>
  </si>
  <si>
    <t>Reports - A/R aging (who owes you)</t>
  </si>
  <si>
    <t>Reports - A/P aging (what you owe)</t>
  </si>
  <si>
    <t>Output - Print</t>
  </si>
  <si>
    <t>Output - Email reports</t>
  </si>
  <si>
    <t>Reconciliation - via US bank feeds (OFX/QBO/CSV; Plaid later)</t>
  </si>
  <si>
    <t>Reconciliation - 1-to-many bank match</t>
  </si>
  <si>
    <t>Reconciliation - account/vendor reconciliation</t>
  </si>
  <si>
    <t>Reconciliation - 1-to-many ledger match</t>
  </si>
  <si>
    <t>Migration - import from QuickBooks / Wave / Xero / CSV</t>
  </si>
  <si>
    <t>Mileage tracking</t>
  </si>
  <si>
    <t>mileage_tracking</t>
  </si>
  <si>
    <t>Mobile - mileage tracking (optional, US-popular)</t>
  </si>
  <si>
    <t>US sales tax tracking</t>
  </si>
  <si>
    <t>sales_tax</t>
  </si>
  <si>
    <t>Tax - US sales tax: per state/local rate, taxable/exempt, nexus tracker, liability report (capture+report; you/CPA file)</t>
  </si>
  <si>
    <t>1099 contractor tracking</t>
  </si>
  <si>
    <t>form_1099</t>
  </si>
  <si>
    <t>Tax - 1099-NEC contractor tracking + year-end export</t>
  </si>
  <si>
    <t>AI - Voice entry (speak a transaction)</t>
  </si>
  <si>
    <t>Users - 2 users</t>
  </si>
  <si>
    <t>Users - 5 users</t>
  </si>
  <si>
    <t>Users - unlimited users</t>
  </si>
  <si>
    <t>tradeHQ — plan tiers (India)</t>
  </si>
  <si>
    <t>Phase 1 ships only FREE + STANDARD. PRO / PREMIUM rows are deliberately omitted.</t>
  </si>
  <si>
    <t>code</t>
  </si>
  <si>
    <t>name</t>
  </si>
  <si>
    <t>seats_allowed</t>
  </si>
  <si>
    <t>capacity_limit</t>
  </si>
  <si>
    <t>capacity_unit</t>
  </si>
  <si>
    <t>plan_price_INR</t>
  </si>
  <si>
    <t>family members</t>
  </si>
  <si>
    <t>1 broker, manual pull, dashboard &amp; holdings, 1 family member.</t>
  </si>
  <si>
    <t>All brokers auto-pull via TOTP, full family wealth view, AI news (cached daily), AHQ cash-flow bridge, up to 6 family members. Rs.200/month.</t>
  </si>
  <si>
    <t>tradeHQ — Plan ⇄ Feature matrix</t>
  </si>
  <si>
    <t>Phase 1 has no code-gated features (license_manager.has_feature() is dormant for tradeHQ). Populate when metered features are added.</t>
  </si>
  <si>
    <t>category</t>
  </si>
  <si>
    <t>feature_id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</si>
</sst>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3" borderId="0" xfId="0" applyFont="1" applyFill="1"/>
    <xf numFmtId="0" fontId="7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workbookViewId="0">
      <selection activeCell="F5" sqref="F5"/>
    </sheetView>
  </sheetViews>
  <sheetFormatPr defaultRowHeight="14.5" x14ac:dyDescent="0.35"/>
  <sheetData>
    <row r="1" spans="1:10" x14ac:dyDescent="0.35">
      <c r="A1" t="s">
        <v>0</v>
      </c>
    </row>
    <row r="2" spans="1:10" x14ac:dyDescent="0.35">
      <c r="A2" t="s">
        <v>1</v>
      </c>
    </row>
    <row r="3" spans="1:10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 x14ac:dyDescent="0.35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J4" t="s">
        <v>20</v>
      </c>
    </row>
    <row r="5" spans="1:10" x14ac:dyDescent="0.35">
      <c r="A5" t="s">
        <v>21</v>
      </c>
      <c r="B5" t="s">
        <v>22</v>
      </c>
      <c r="C5" t="s">
        <v>23</v>
      </c>
      <c r="D5">
        <v>0</v>
      </c>
      <c r="E5">
        <v>0</v>
      </c>
      <c r="F5">
        <v>1999</v>
      </c>
      <c r="G5">
        <v>4999</v>
      </c>
      <c r="H5">
        <v>9999</v>
      </c>
      <c r="J5" t="s">
        <v>24</v>
      </c>
    </row>
    <row r="6" spans="1:10" x14ac:dyDescent="0.35">
      <c r="A6" t="s">
        <v>25</v>
      </c>
      <c r="B6" t="s">
        <v>26</v>
      </c>
      <c r="C6" t="s">
        <v>27</v>
      </c>
      <c r="D6">
        <v>1</v>
      </c>
      <c r="E6">
        <v>1</v>
      </c>
      <c r="F6">
        <v>2</v>
      </c>
      <c r="G6">
        <v>5</v>
      </c>
      <c r="H6">
        <v>10</v>
      </c>
      <c r="J6" t="s">
        <v>28</v>
      </c>
    </row>
    <row r="7" spans="1:10" x14ac:dyDescent="0.35">
      <c r="A7" t="s">
        <v>25</v>
      </c>
      <c r="B7" t="s">
        <v>29</v>
      </c>
      <c r="C7" t="s">
        <v>30</v>
      </c>
      <c r="D7">
        <v>50</v>
      </c>
      <c r="E7">
        <v>5000</v>
      </c>
      <c r="F7">
        <v>20000</v>
      </c>
      <c r="G7">
        <v>50000</v>
      </c>
      <c r="H7">
        <v>100000</v>
      </c>
      <c r="J7" t="s">
        <v>31</v>
      </c>
    </row>
    <row r="8" spans="1:10" x14ac:dyDescent="0.35">
      <c r="A8" t="s">
        <v>32</v>
      </c>
      <c r="B8" t="s">
        <v>33</v>
      </c>
      <c r="C8" t="s">
        <v>34</v>
      </c>
      <c r="D8">
        <v>0</v>
      </c>
      <c r="E8">
        <v>0</v>
      </c>
      <c r="F8">
        <v>0.3</v>
      </c>
      <c r="G8">
        <v>0.3</v>
      </c>
      <c r="H8">
        <v>0.2</v>
      </c>
      <c r="J8" t="s">
        <v>35</v>
      </c>
    </row>
    <row r="9" spans="1:10" x14ac:dyDescent="0.35">
      <c r="A9" t="s">
        <v>12</v>
      </c>
      <c r="B9" t="s">
        <v>36</v>
      </c>
      <c r="C9" t="s">
        <v>37</v>
      </c>
      <c r="D9" t="s">
        <v>38</v>
      </c>
      <c r="E9" t="s">
        <v>39</v>
      </c>
      <c r="F9" t="s">
        <v>40</v>
      </c>
      <c r="G9" t="s">
        <v>41</v>
      </c>
      <c r="H9" t="s">
        <v>42</v>
      </c>
      <c r="J9" t="s">
        <v>43</v>
      </c>
    </row>
    <row r="10" spans="1:10" x14ac:dyDescent="0.35">
      <c r="A10" t="s">
        <v>3</v>
      </c>
      <c r="B10" t="s">
        <v>44</v>
      </c>
      <c r="C10" t="s">
        <v>45</v>
      </c>
      <c r="D10" t="s">
        <v>46</v>
      </c>
      <c r="E10" t="s">
        <v>46</v>
      </c>
      <c r="F10" t="s">
        <v>46</v>
      </c>
      <c r="G10" t="s">
        <v>46</v>
      </c>
      <c r="H10" t="s">
        <v>46</v>
      </c>
      <c r="J10" t="s">
        <v>47</v>
      </c>
    </row>
    <row r="11" spans="1:10" x14ac:dyDescent="0.35">
      <c r="A11" t="s">
        <v>3</v>
      </c>
      <c r="B11" t="s">
        <v>48</v>
      </c>
      <c r="C11" t="s">
        <v>49</v>
      </c>
      <c r="D11" t="s">
        <v>46</v>
      </c>
      <c r="E11" t="s">
        <v>46</v>
      </c>
      <c r="F11" t="s">
        <v>46</v>
      </c>
      <c r="G11" t="s">
        <v>46</v>
      </c>
      <c r="H11" t="s">
        <v>46</v>
      </c>
      <c r="J11" t="s">
        <v>47</v>
      </c>
    </row>
    <row r="12" spans="1:10" x14ac:dyDescent="0.35">
      <c r="A12" t="s">
        <v>3</v>
      </c>
      <c r="B12" t="s">
        <v>50</v>
      </c>
      <c r="C12" t="s">
        <v>51</v>
      </c>
      <c r="D12" t="s">
        <v>46</v>
      </c>
      <c r="E12" t="s">
        <v>46</v>
      </c>
      <c r="F12" t="s">
        <v>46</v>
      </c>
      <c r="G12" t="s">
        <v>46</v>
      </c>
      <c r="H12" t="s">
        <v>46</v>
      </c>
      <c r="J12" t="s">
        <v>47</v>
      </c>
    </row>
    <row r="13" spans="1:10" x14ac:dyDescent="0.35">
      <c r="A13" t="s">
        <v>3</v>
      </c>
      <c r="B13" t="s">
        <v>52</v>
      </c>
      <c r="C13" t="s">
        <v>53</v>
      </c>
      <c r="D13" t="s">
        <v>46</v>
      </c>
      <c r="E13" t="s">
        <v>46</v>
      </c>
      <c r="F13" t="s">
        <v>46</v>
      </c>
      <c r="G13" t="s">
        <v>46</v>
      </c>
      <c r="H13" t="s">
        <v>46</v>
      </c>
      <c r="J13" t="s">
        <v>47</v>
      </c>
    </row>
    <row r="14" spans="1:10" x14ac:dyDescent="0.35">
      <c r="A14" t="s">
        <v>3</v>
      </c>
      <c r="B14" t="s">
        <v>54</v>
      </c>
      <c r="C14" t="s">
        <v>55</v>
      </c>
      <c r="D14" t="s">
        <v>46</v>
      </c>
      <c r="E14" t="s">
        <v>46</v>
      </c>
      <c r="F14" t="s">
        <v>46</v>
      </c>
      <c r="G14" t="s">
        <v>46</v>
      </c>
      <c r="H14" t="s">
        <v>46</v>
      </c>
      <c r="J14" t="s">
        <v>56</v>
      </c>
    </row>
    <row r="15" spans="1:10" x14ac:dyDescent="0.35">
      <c r="A15" t="s">
        <v>3</v>
      </c>
      <c r="B15" t="s">
        <v>57</v>
      </c>
      <c r="C15" t="s">
        <v>58</v>
      </c>
      <c r="D15" t="s">
        <v>46</v>
      </c>
      <c r="E15" t="s">
        <v>46</v>
      </c>
      <c r="F15" t="s">
        <v>46</v>
      </c>
      <c r="G15" t="s">
        <v>46</v>
      </c>
      <c r="H15" t="s">
        <v>46</v>
      </c>
      <c r="J15" t="s">
        <v>56</v>
      </c>
    </row>
    <row r="16" spans="1:10" x14ac:dyDescent="0.35">
      <c r="A16" t="s">
        <v>3</v>
      </c>
      <c r="B16" t="s">
        <v>59</v>
      </c>
      <c r="C16" t="s">
        <v>60</v>
      </c>
      <c r="F16" t="s">
        <v>46</v>
      </c>
      <c r="J16" t="s">
        <v>61</v>
      </c>
    </row>
    <row r="17" spans="1:10" x14ac:dyDescent="0.35">
      <c r="A17" t="s">
        <v>3</v>
      </c>
      <c r="B17" t="s">
        <v>62</v>
      </c>
      <c r="C17" t="s">
        <v>63</v>
      </c>
      <c r="G17" t="s">
        <v>46</v>
      </c>
      <c r="J17" t="s">
        <v>61</v>
      </c>
    </row>
    <row r="18" spans="1:10" x14ac:dyDescent="0.35">
      <c r="A18" t="s">
        <v>3</v>
      </c>
      <c r="B18" t="s">
        <v>64</v>
      </c>
      <c r="C18" t="s">
        <v>65</v>
      </c>
      <c r="D18" t="s">
        <v>46</v>
      </c>
      <c r="H18" t="s">
        <v>46</v>
      </c>
      <c r="J18" t="s">
        <v>61</v>
      </c>
    </row>
    <row r="19" spans="1:10" x14ac:dyDescent="0.35">
      <c r="A19" t="s">
        <v>3</v>
      </c>
      <c r="B19" t="s">
        <v>66</v>
      </c>
      <c r="C19" t="s">
        <v>67</v>
      </c>
      <c r="D19" t="s">
        <v>46</v>
      </c>
      <c r="E19" t="s">
        <v>46</v>
      </c>
      <c r="F19" t="s">
        <v>46</v>
      </c>
      <c r="G19" t="s">
        <v>46</v>
      </c>
      <c r="H19" t="s">
        <v>46</v>
      </c>
      <c r="J19" t="s">
        <v>68</v>
      </c>
    </row>
    <row r="20" spans="1:10" x14ac:dyDescent="0.35">
      <c r="A20" t="s">
        <v>3</v>
      </c>
      <c r="B20" t="s">
        <v>69</v>
      </c>
      <c r="C20" t="s">
        <v>70</v>
      </c>
      <c r="D20" t="s">
        <v>46</v>
      </c>
      <c r="E20" t="s">
        <v>46</v>
      </c>
      <c r="F20" t="s">
        <v>46</v>
      </c>
      <c r="G20" t="s">
        <v>46</v>
      </c>
      <c r="H20" t="s">
        <v>46</v>
      </c>
      <c r="J20" t="s">
        <v>68</v>
      </c>
    </row>
    <row r="21" spans="1:10" x14ac:dyDescent="0.35">
      <c r="A21" t="s">
        <v>3</v>
      </c>
      <c r="B21" t="s">
        <v>71</v>
      </c>
      <c r="C21" t="s">
        <v>72</v>
      </c>
      <c r="D21" t="s">
        <v>46</v>
      </c>
      <c r="E21" t="s">
        <v>46</v>
      </c>
      <c r="F21" t="s">
        <v>46</v>
      </c>
      <c r="G21" t="s">
        <v>46</v>
      </c>
      <c r="H21" t="s">
        <v>46</v>
      </c>
      <c r="J21" t="s">
        <v>68</v>
      </c>
    </row>
    <row r="22" spans="1:10" x14ac:dyDescent="0.35">
      <c r="A22" t="s">
        <v>3</v>
      </c>
      <c r="B22" t="s">
        <v>73</v>
      </c>
      <c r="C22" t="s">
        <v>74</v>
      </c>
      <c r="D22" t="s">
        <v>46</v>
      </c>
      <c r="E22" t="s">
        <v>46</v>
      </c>
      <c r="F22" t="s">
        <v>46</v>
      </c>
      <c r="G22" t="s">
        <v>46</v>
      </c>
      <c r="H22" t="s">
        <v>46</v>
      </c>
      <c r="J22" t="s">
        <v>68</v>
      </c>
    </row>
    <row r="23" spans="1:10" x14ac:dyDescent="0.35">
      <c r="A23" t="s">
        <v>3</v>
      </c>
      <c r="B23" t="s">
        <v>75</v>
      </c>
      <c r="C23" t="s">
        <v>76</v>
      </c>
      <c r="D23" t="s">
        <v>46</v>
      </c>
      <c r="E23" t="s">
        <v>46</v>
      </c>
      <c r="F23" t="s">
        <v>46</v>
      </c>
      <c r="G23" t="s">
        <v>46</v>
      </c>
      <c r="H23" t="s">
        <v>46</v>
      </c>
      <c r="J23" t="s">
        <v>68</v>
      </c>
    </row>
    <row r="24" spans="1:10" x14ac:dyDescent="0.35">
      <c r="A24" t="s">
        <v>3</v>
      </c>
      <c r="B24" t="s">
        <v>77</v>
      </c>
      <c r="C24" t="s">
        <v>78</v>
      </c>
      <c r="D24" t="s">
        <v>46</v>
      </c>
      <c r="E24" t="s">
        <v>46</v>
      </c>
      <c r="F24" t="s">
        <v>46</v>
      </c>
      <c r="G24" t="s">
        <v>46</v>
      </c>
      <c r="H24" t="s">
        <v>46</v>
      </c>
      <c r="J24" t="s">
        <v>68</v>
      </c>
    </row>
    <row r="25" spans="1:10" x14ac:dyDescent="0.35">
      <c r="A25" t="s">
        <v>3</v>
      </c>
      <c r="B25" t="s">
        <v>79</v>
      </c>
      <c r="C25" t="s">
        <v>80</v>
      </c>
      <c r="D25" t="s">
        <v>46</v>
      </c>
      <c r="E25" t="s">
        <v>46</v>
      </c>
      <c r="F25" t="s">
        <v>46</v>
      </c>
      <c r="G25" t="s">
        <v>46</v>
      </c>
      <c r="H25" t="s">
        <v>46</v>
      </c>
      <c r="J25" t="s">
        <v>68</v>
      </c>
    </row>
    <row r="26" spans="1:10" x14ac:dyDescent="0.35">
      <c r="A26" t="s">
        <v>3</v>
      </c>
      <c r="B26" t="s">
        <v>81</v>
      </c>
      <c r="C26" t="s">
        <v>82</v>
      </c>
      <c r="D26" t="s">
        <v>46</v>
      </c>
      <c r="F26" t="s">
        <v>46</v>
      </c>
      <c r="G26" t="s">
        <v>46</v>
      </c>
      <c r="H26" t="s">
        <v>46</v>
      </c>
      <c r="I26" t="s">
        <v>7</v>
      </c>
      <c r="J26" t="s">
        <v>68</v>
      </c>
    </row>
    <row r="27" spans="1:10" x14ac:dyDescent="0.35">
      <c r="A27" t="s">
        <v>3</v>
      </c>
      <c r="B27" t="s">
        <v>83</v>
      </c>
      <c r="C27" t="s">
        <v>84</v>
      </c>
      <c r="D27" t="s">
        <v>46</v>
      </c>
      <c r="E27" t="s">
        <v>46</v>
      </c>
      <c r="F27" t="s">
        <v>46</v>
      </c>
      <c r="G27" t="s">
        <v>46</v>
      </c>
      <c r="H27" t="s">
        <v>46</v>
      </c>
      <c r="I27" t="s">
        <v>7</v>
      </c>
      <c r="J27" t="s">
        <v>85</v>
      </c>
    </row>
    <row r="28" spans="1:10" x14ac:dyDescent="0.35">
      <c r="A28" t="s">
        <v>3</v>
      </c>
      <c r="B28" t="s">
        <v>86</v>
      </c>
      <c r="C28" t="s">
        <v>87</v>
      </c>
      <c r="D28" t="s">
        <v>46</v>
      </c>
      <c r="E28" t="s">
        <v>46</v>
      </c>
      <c r="F28" t="s">
        <v>46</v>
      </c>
      <c r="G28" t="s">
        <v>46</v>
      </c>
      <c r="H28" t="s">
        <v>46</v>
      </c>
      <c r="J28" t="s">
        <v>85</v>
      </c>
    </row>
    <row r="29" spans="1:10" x14ac:dyDescent="0.35">
      <c r="A29" t="s">
        <v>3</v>
      </c>
      <c r="B29" t="s">
        <v>88</v>
      </c>
      <c r="C29" t="s">
        <v>89</v>
      </c>
      <c r="D29" t="s">
        <v>46</v>
      </c>
      <c r="F29" t="s">
        <v>46</v>
      </c>
      <c r="G29" t="s">
        <v>46</v>
      </c>
      <c r="H29" t="s">
        <v>46</v>
      </c>
      <c r="J29" t="s">
        <v>85</v>
      </c>
    </row>
    <row r="30" spans="1:10" x14ac:dyDescent="0.35">
      <c r="A30" t="s">
        <v>3</v>
      </c>
      <c r="B30" t="s">
        <v>90</v>
      </c>
      <c r="C30" t="s">
        <v>91</v>
      </c>
      <c r="D30" t="s">
        <v>46</v>
      </c>
      <c r="F30" t="s">
        <v>46</v>
      </c>
      <c r="G30" t="s">
        <v>46</v>
      </c>
      <c r="H30" t="s">
        <v>46</v>
      </c>
      <c r="I30" t="s">
        <v>7</v>
      </c>
      <c r="J30" t="s">
        <v>85</v>
      </c>
    </row>
    <row r="31" spans="1:10" x14ac:dyDescent="0.35">
      <c r="A31" t="s">
        <v>3</v>
      </c>
      <c r="B31" t="s">
        <v>92</v>
      </c>
      <c r="C31" t="s">
        <v>93</v>
      </c>
      <c r="D31" t="s">
        <v>46</v>
      </c>
      <c r="E31" t="s">
        <v>46</v>
      </c>
      <c r="F31" t="s">
        <v>46</v>
      </c>
      <c r="G31" t="s">
        <v>46</v>
      </c>
      <c r="H31" t="s">
        <v>46</v>
      </c>
      <c r="I31" t="s">
        <v>7</v>
      </c>
      <c r="J31" t="s">
        <v>94</v>
      </c>
    </row>
    <row r="32" spans="1:10" x14ac:dyDescent="0.35">
      <c r="A32" t="s">
        <v>3</v>
      </c>
      <c r="B32" t="s">
        <v>95</v>
      </c>
      <c r="C32" t="s">
        <v>96</v>
      </c>
      <c r="D32" t="s">
        <v>46</v>
      </c>
      <c r="E32" t="s">
        <v>46</v>
      </c>
      <c r="F32" t="s">
        <v>46</v>
      </c>
      <c r="G32" t="s">
        <v>46</v>
      </c>
      <c r="H32" t="s">
        <v>46</v>
      </c>
      <c r="I32" t="s">
        <v>7</v>
      </c>
      <c r="J32" t="s">
        <v>94</v>
      </c>
    </row>
    <row r="33" spans="1:10" x14ac:dyDescent="0.35">
      <c r="A33" t="s">
        <v>3</v>
      </c>
      <c r="B33" t="s">
        <v>97</v>
      </c>
      <c r="C33" t="s">
        <v>98</v>
      </c>
      <c r="D33" t="s">
        <v>46</v>
      </c>
      <c r="E33" t="s">
        <v>46</v>
      </c>
      <c r="F33" t="s">
        <v>46</v>
      </c>
      <c r="G33" t="s">
        <v>46</v>
      </c>
      <c r="H33" t="s">
        <v>46</v>
      </c>
      <c r="I33" t="s">
        <v>7</v>
      </c>
      <c r="J33" t="s">
        <v>94</v>
      </c>
    </row>
    <row r="34" spans="1:10" x14ac:dyDescent="0.35">
      <c r="A34" t="s">
        <v>3</v>
      </c>
      <c r="B34" t="s">
        <v>99</v>
      </c>
      <c r="C34" t="s">
        <v>100</v>
      </c>
      <c r="D34" t="s">
        <v>46</v>
      </c>
      <c r="E34" t="s">
        <v>46</v>
      </c>
      <c r="F34" t="s">
        <v>46</v>
      </c>
      <c r="G34" t="s">
        <v>46</v>
      </c>
      <c r="H34" t="s">
        <v>46</v>
      </c>
      <c r="I34" t="s">
        <v>7</v>
      </c>
      <c r="J34" t="s">
        <v>94</v>
      </c>
    </row>
    <row r="35" spans="1:10" x14ac:dyDescent="0.35">
      <c r="A35" t="s">
        <v>3</v>
      </c>
      <c r="B35" t="s">
        <v>101</v>
      </c>
      <c r="C35" t="s">
        <v>102</v>
      </c>
      <c r="D35" t="s">
        <v>46</v>
      </c>
      <c r="E35" t="s">
        <v>46</v>
      </c>
      <c r="F35" t="s">
        <v>46</v>
      </c>
      <c r="G35" t="s">
        <v>46</v>
      </c>
      <c r="H35" t="s">
        <v>46</v>
      </c>
      <c r="I35" t="s">
        <v>7</v>
      </c>
      <c r="J35" t="s">
        <v>103</v>
      </c>
    </row>
    <row r="36" spans="1:10" x14ac:dyDescent="0.35">
      <c r="A36" t="s">
        <v>3</v>
      </c>
      <c r="B36" t="s">
        <v>104</v>
      </c>
      <c r="C36" t="s">
        <v>105</v>
      </c>
      <c r="D36" t="s">
        <v>46</v>
      </c>
      <c r="G36" t="s">
        <v>46</v>
      </c>
      <c r="H36" t="s">
        <v>46</v>
      </c>
      <c r="I36" t="s">
        <v>8</v>
      </c>
      <c r="J36" t="s">
        <v>106</v>
      </c>
    </row>
    <row r="37" spans="1:10" x14ac:dyDescent="0.35">
      <c r="A37" t="s">
        <v>3</v>
      </c>
      <c r="B37" t="s">
        <v>107</v>
      </c>
      <c r="C37" t="s">
        <v>108</v>
      </c>
      <c r="D37" t="s">
        <v>46</v>
      </c>
      <c r="G37" t="s">
        <v>46</v>
      </c>
      <c r="H37" t="s">
        <v>46</v>
      </c>
      <c r="I37" t="s">
        <v>8</v>
      </c>
      <c r="J37" t="s">
        <v>106</v>
      </c>
    </row>
    <row r="38" spans="1:10" x14ac:dyDescent="0.35">
      <c r="A38" t="s">
        <v>3</v>
      </c>
      <c r="B38" t="s">
        <v>109</v>
      </c>
      <c r="C38" t="s">
        <v>110</v>
      </c>
      <c r="D38" t="s">
        <v>46</v>
      </c>
      <c r="G38" t="s">
        <v>46</v>
      </c>
      <c r="H38" t="s">
        <v>46</v>
      </c>
      <c r="I38" t="s">
        <v>8</v>
      </c>
      <c r="J38" t="s">
        <v>111</v>
      </c>
    </row>
    <row r="39" spans="1:10" x14ac:dyDescent="0.35">
      <c r="A39" t="s">
        <v>3</v>
      </c>
      <c r="B39" t="s">
        <v>112</v>
      </c>
      <c r="C39" t="s">
        <v>113</v>
      </c>
      <c r="D39" t="s">
        <v>46</v>
      </c>
      <c r="G39" t="s">
        <v>46</v>
      </c>
      <c r="H39" t="s">
        <v>46</v>
      </c>
      <c r="I39" t="s">
        <v>8</v>
      </c>
      <c r="J39" t="s">
        <v>111</v>
      </c>
    </row>
    <row r="40" spans="1:10" x14ac:dyDescent="0.35">
      <c r="A40" t="s">
        <v>3</v>
      </c>
      <c r="B40" t="s">
        <v>114</v>
      </c>
      <c r="C40" t="s">
        <v>115</v>
      </c>
      <c r="D40" t="s">
        <v>46</v>
      </c>
      <c r="E40" t="s">
        <v>46</v>
      </c>
      <c r="F40" t="s">
        <v>46</v>
      </c>
      <c r="G40" t="s">
        <v>46</v>
      </c>
      <c r="H40" t="s">
        <v>46</v>
      </c>
      <c r="I40" t="s">
        <v>8</v>
      </c>
      <c r="J40" t="s">
        <v>111</v>
      </c>
    </row>
    <row r="41" spans="1:10" x14ac:dyDescent="0.35">
      <c r="A41" t="s">
        <v>3</v>
      </c>
      <c r="B41" t="s">
        <v>116</v>
      </c>
      <c r="C41" t="s">
        <v>117</v>
      </c>
      <c r="D41" t="s">
        <v>46</v>
      </c>
      <c r="H41" t="s">
        <v>46</v>
      </c>
      <c r="I41" t="s">
        <v>9</v>
      </c>
      <c r="J41" t="s">
        <v>118</v>
      </c>
    </row>
    <row r="42" spans="1:10" x14ac:dyDescent="0.35">
      <c r="A42" t="s">
        <v>3</v>
      </c>
      <c r="B42" t="s">
        <v>119</v>
      </c>
      <c r="C42" t="s">
        <v>120</v>
      </c>
      <c r="D42" t="s">
        <v>46</v>
      </c>
      <c r="H42" t="s">
        <v>46</v>
      </c>
      <c r="I42" t="s">
        <v>9</v>
      </c>
      <c r="J42" t="s">
        <v>118</v>
      </c>
    </row>
    <row r="43" spans="1:10" x14ac:dyDescent="0.35">
      <c r="A43" t="s">
        <v>3</v>
      </c>
      <c r="B43" t="s">
        <v>121</v>
      </c>
      <c r="C43" t="s">
        <v>122</v>
      </c>
      <c r="D43" t="s">
        <v>46</v>
      </c>
      <c r="H43" t="s">
        <v>46</v>
      </c>
      <c r="I43" t="s">
        <v>9</v>
      </c>
      <c r="J43" t="s">
        <v>118</v>
      </c>
    </row>
    <row r="44" spans="1:10" x14ac:dyDescent="0.35">
      <c r="A44" t="s">
        <v>3</v>
      </c>
      <c r="B44" t="s">
        <v>123</v>
      </c>
      <c r="C44" t="s">
        <v>124</v>
      </c>
      <c r="D44" t="s">
        <v>46</v>
      </c>
      <c r="H44" t="s">
        <v>46</v>
      </c>
      <c r="I44" t="s">
        <v>9</v>
      </c>
      <c r="J44" t="s">
        <v>118</v>
      </c>
    </row>
    <row r="45" spans="1:10" x14ac:dyDescent="0.35">
      <c r="A45" t="s">
        <v>3</v>
      </c>
      <c r="B45" t="s">
        <v>125</v>
      </c>
      <c r="C45" t="s">
        <v>126</v>
      </c>
      <c r="D45" t="s">
        <v>46</v>
      </c>
      <c r="H45" t="s">
        <v>46</v>
      </c>
      <c r="I45" t="s">
        <v>9</v>
      </c>
      <c r="J45" t="s">
        <v>127</v>
      </c>
    </row>
    <row r="46" spans="1:10" x14ac:dyDescent="0.35">
      <c r="A46" t="s">
        <v>3</v>
      </c>
      <c r="B46" t="s">
        <v>128</v>
      </c>
      <c r="C46" t="s">
        <v>129</v>
      </c>
      <c r="D46" t="s">
        <v>46</v>
      </c>
      <c r="G46" t="s">
        <v>46</v>
      </c>
      <c r="H46" t="s">
        <v>46</v>
      </c>
      <c r="I46" t="s">
        <v>8</v>
      </c>
      <c r="J46" t="s">
        <v>111</v>
      </c>
    </row>
    <row r="47" spans="1:10" x14ac:dyDescent="0.35">
      <c r="A47" t="s">
        <v>3</v>
      </c>
      <c r="B47" t="s">
        <v>130</v>
      </c>
      <c r="C47" t="s">
        <v>131</v>
      </c>
      <c r="D47" t="s">
        <v>46</v>
      </c>
      <c r="G47" t="s">
        <v>46</v>
      </c>
      <c r="H47" t="s">
        <v>46</v>
      </c>
      <c r="I47" t="s">
        <v>8</v>
      </c>
      <c r="J47" t="s">
        <v>132</v>
      </c>
    </row>
    <row r="48" spans="1:10" x14ac:dyDescent="0.35">
      <c r="A48" t="s">
        <v>3</v>
      </c>
      <c r="B48" t="s">
        <v>133</v>
      </c>
      <c r="C48" t="s">
        <v>134</v>
      </c>
      <c r="D48" t="s">
        <v>46</v>
      </c>
      <c r="F48" t="s">
        <v>46</v>
      </c>
      <c r="G48" t="s">
        <v>46</v>
      </c>
      <c r="H48" t="s">
        <v>46</v>
      </c>
      <c r="I48" t="s">
        <v>7</v>
      </c>
      <c r="J48" t="s">
        <v>68</v>
      </c>
    </row>
    <row r="49" spans="1:10" x14ac:dyDescent="0.35">
      <c r="A49" t="s">
        <v>3</v>
      </c>
      <c r="B49" t="s">
        <v>135</v>
      </c>
      <c r="C49" t="s">
        <v>136</v>
      </c>
      <c r="D49" t="s">
        <v>46</v>
      </c>
      <c r="G49" t="s">
        <v>46</v>
      </c>
      <c r="H49" t="s">
        <v>46</v>
      </c>
      <c r="I49" t="s">
        <v>8</v>
      </c>
      <c r="J49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pane xSplit="1" ySplit="4" topLeftCell="B5" activePane="bottomRight" state="frozen"/>
      <selection pane="topRight"/>
      <selection pane="bottomLeft"/>
      <selection pane="bottomRight" sqref="A1:N1"/>
    </sheetView>
  </sheetViews>
  <sheetFormatPr defaultRowHeight="14.5" x14ac:dyDescent="0.35"/>
  <cols>
    <col min="1" max="1" width="13" customWidth="1"/>
    <col min="2" max="2" width="22" customWidth="1"/>
    <col min="3" max="9" width="13" customWidth="1"/>
    <col min="10" max="10" width="18" customWidth="1"/>
    <col min="11" max="11" width="20" customWidth="1"/>
    <col min="12" max="12" width="22" customWidth="1"/>
    <col min="13" max="13" width="9" customWidth="1"/>
    <col min="14" max="14" width="36" customWidth="1"/>
  </cols>
  <sheetData>
    <row r="1" spans="1:14" ht="17" customHeight="1" x14ac:dyDescent="0.4">
      <c r="A1" s="10" t="s">
        <v>137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44" customHeight="1" x14ac:dyDescent="0.35">
      <c r="A2" s="8" t="s">
        <v>138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4" x14ac:dyDescent="0.35">
      <c r="A4" s="1" t="s">
        <v>139</v>
      </c>
      <c r="B4" s="1" t="s">
        <v>140</v>
      </c>
      <c r="C4" s="1" t="s">
        <v>141</v>
      </c>
      <c r="D4" s="1" t="s">
        <v>142</v>
      </c>
      <c r="E4" s="1" t="s">
        <v>143</v>
      </c>
      <c r="F4" s="1" t="s">
        <v>144</v>
      </c>
      <c r="G4" s="1" t="s">
        <v>145</v>
      </c>
      <c r="H4" s="1" t="s">
        <v>146</v>
      </c>
      <c r="I4" s="1" t="s">
        <v>147</v>
      </c>
      <c r="J4" s="1" t="s">
        <v>148</v>
      </c>
      <c r="K4" s="1" t="s">
        <v>11</v>
      </c>
    </row>
    <row r="5" spans="1:14" x14ac:dyDescent="0.35">
      <c r="A5" s="2" t="s">
        <v>149</v>
      </c>
      <c r="B5" s="2" t="s">
        <v>150</v>
      </c>
      <c r="C5" s="2" t="s">
        <v>151</v>
      </c>
      <c r="D5" s="2" t="s">
        <v>152</v>
      </c>
      <c r="E5" s="3">
        <v>0</v>
      </c>
      <c r="F5" s="3">
        <v>0</v>
      </c>
      <c r="G5" s="3">
        <v>1999</v>
      </c>
      <c r="H5" s="3">
        <v>4999</v>
      </c>
      <c r="I5" s="3">
        <v>9999</v>
      </c>
      <c r="J5" s="3" t="s">
        <v>46</v>
      </c>
      <c r="K5" s="3" t="s">
        <v>153</v>
      </c>
    </row>
    <row r="6" spans="1:14" x14ac:dyDescent="0.35">
      <c r="A6" s="2" t="s">
        <v>154</v>
      </c>
      <c r="B6" s="2" t="s">
        <v>155</v>
      </c>
      <c r="C6" s="2" t="s">
        <v>156</v>
      </c>
      <c r="D6" s="2" t="s">
        <v>157</v>
      </c>
      <c r="E6" s="3">
        <v>0</v>
      </c>
      <c r="F6" s="3"/>
      <c r="G6" s="3"/>
      <c r="H6" s="3"/>
      <c r="I6" s="3"/>
      <c r="J6" s="3" t="s">
        <v>46</v>
      </c>
      <c r="K6" s="3" t="s">
        <v>158</v>
      </c>
    </row>
    <row r="7" spans="1:14" x14ac:dyDescent="0.35">
      <c r="A7" s="2" t="s">
        <v>159</v>
      </c>
      <c r="B7" s="2" t="s">
        <v>160</v>
      </c>
      <c r="C7" s="2" t="s">
        <v>161</v>
      </c>
      <c r="D7" s="2" t="s">
        <v>162</v>
      </c>
      <c r="E7" s="3">
        <v>0</v>
      </c>
      <c r="F7" s="3"/>
      <c r="G7" s="3"/>
      <c r="H7" s="3"/>
      <c r="I7" s="3"/>
      <c r="J7" s="3" t="s">
        <v>46</v>
      </c>
      <c r="K7" s="3" t="s">
        <v>163</v>
      </c>
    </row>
    <row r="8" spans="1:14" x14ac:dyDescent="0.35">
      <c r="A8" s="2" t="s">
        <v>164</v>
      </c>
      <c r="B8" s="2" t="s">
        <v>165</v>
      </c>
      <c r="C8" s="2" t="s">
        <v>166</v>
      </c>
      <c r="D8" s="2" t="s">
        <v>166</v>
      </c>
      <c r="E8" s="3">
        <v>0</v>
      </c>
      <c r="F8" s="3"/>
      <c r="G8" s="3"/>
      <c r="H8" s="3"/>
      <c r="I8" s="3"/>
      <c r="J8" s="3" t="s">
        <v>46</v>
      </c>
      <c r="K8" s="3" t="s">
        <v>167</v>
      </c>
    </row>
  </sheetData>
  <mergeCells count="2">
    <mergeCell ref="A2:K2"/>
    <mergeCell ref="A1:N1"/>
  </mergeCells>
  <dataValidations count="1">
    <dataValidation type="list" sqref="J5:J8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"/>
  <sheetViews>
    <sheetView workbookViewId="0"/>
  </sheetViews>
  <sheetFormatPr defaultRowHeight="14.5" x14ac:dyDescent="0.35"/>
  <sheetData>
    <row r="1" spans="1:9" x14ac:dyDescent="0.35">
      <c r="A1" t="s">
        <v>168</v>
      </c>
    </row>
    <row r="2" spans="1:9" x14ac:dyDescent="0.35">
      <c r="A2" t="s">
        <v>169</v>
      </c>
    </row>
    <row r="3" spans="1:9" x14ac:dyDescent="0.35">
      <c r="A3" s="7" t="s">
        <v>2</v>
      </c>
      <c r="B3" t="s">
        <v>3</v>
      </c>
      <c r="C3" s="7" t="s">
        <v>4</v>
      </c>
      <c r="D3" s="7" t="s">
        <v>6</v>
      </c>
      <c r="E3" s="7" t="s">
        <v>7</v>
      </c>
      <c r="F3" s="7" t="s">
        <v>8</v>
      </c>
      <c r="G3" s="7" t="s">
        <v>9</v>
      </c>
      <c r="H3" s="7" t="s">
        <v>10</v>
      </c>
      <c r="I3" s="7" t="s">
        <v>11</v>
      </c>
    </row>
    <row r="4" spans="1:9" x14ac:dyDescent="0.35">
      <c r="A4" t="s">
        <v>21</v>
      </c>
      <c r="B4" t="s">
        <v>22</v>
      </c>
      <c r="C4" t="s">
        <v>23</v>
      </c>
      <c r="D4">
        <v>0</v>
      </c>
      <c r="E4">
        <v>2999</v>
      </c>
      <c r="F4">
        <v>5999</v>
      </c>
      <c r="G4">
        <v>14999</v>
      </c>
      <c r="I4" t="s">
        <v>170</v>
      </c>
    </row>
    <row r="5" spans="1:9" x14ac:dyDescent="0.35">
      <c r="A5" t="s">
        <v>21</v>
      </c>
      <c r="B5" t="s">
        <v>171</v>
      </c>
      <c r="C5" t="s">
        <v>172</v>
      </c>
      <c r="D5">
        <v>0</v>
      </c>
      <c r="E5">
        <v>330</v>
      </c>
      <c r="F5">
        <v>660</v>
      </c>
      <c r="G5">
        <v>1650</v>
      </c>
      <c r="I5" t="s">
        <v>173</v>
      </c>
    </row>
    <row r="6" spans="1:9" x14ac:dyDescent="0.35">
      <c r="A6" t="s">
        <v>25</v>
      </c>
      <c r="B6" t="s">
        <v>26</v>
      </c>
      <c r="C6" t="s">
        <v>27</v>
      </c>
      <c r="D6">
        <v>1</v>
      </c>
      <c r="E6">
        <v>2</v>
      </c>
      <c r="F6">
        <v>5</v>
      </c>
      <c r="G6">
        <v>10</v>
      </c>
      <c r="I6" t="s">
        <v>28</v>
      </c>
    </row>
    <row r="7" spans="1:9" x14ac:dyDescent="0.35">
      <c r="A7" t="s">
        <v>25</v>
      </c>
      <c r="B7" t="s">
        <v>174</v>
      </c>
      <c r="C7" t="s">
        <v>175</v>
      </c>
      <c r="D7">
        <v>300</v>
      </c>
      <c r="E7">
        <v>1000</v>
      </c>
      <c r="F7">
        <v>2500</v>
      </c>
      <c r="I7" t="s">
        <v>176</v>
      </c>
    </row>
    <row r="8" spans="1:9" x14ac:dyDescent="0.35">
      <c r="A8" t="s">
        <v>25</v>
      </c>
      <c r="B8" t="s">
        <v>29</v>
      </c>
      <c r="C8" t="s">
        <v>30</v>
      </c>
      <c r="D8">
        <v>5000</v>
      </c>
      <c r="E8">
        <v>20000</v>
      </c>
      <c r="F8">
        <v>50000</v>
      </c>
      <c r="G8">
        <v>100000</v>
      </c>
      <c r="I8" t="s">
        <v>177</v>
      </c>
    </row>
    <row r="9" spans="1:9" x14ac:dyDescent="0.35">
      <c r="A9" t="s">
        <v>32</v>
      </c>
      <c r="B9" t="s">
        <v>33</v>
      </c>
      <c r="C9" t="s">
        <v>34</v>
      </c>
      <c r="D9">
        <v>0</v>
      </c>
      <c r="E9">
        <v>0.3</v>
      </c>
      <c r="F9">
        <v>0.3</v>
      </c>
      <c r="G9">
        <v>0.2</v>
      </c>
      <c r="I9" t="s">
        <v>178</v>
      </c>
    </row>
    <row r="10" spans="1:9" x14ac:dyDescent="0.35">
      <c r="A10" t="s">
        <v>179</v>
      </c>
      <c r="B10" t="s">
        <v>180</v>
      </c>
      <c r="C10" t="s">
        <v>181</v>
      </c>
      <c r="D10">
        <v>50</v>
      </c>
      <c r="E10">
        <v>150</v>
      </c>
      <c r="F10">
        <v>400</v>
      </c>
      <c r="I10" t="s">
        <v>182</v>
      </c>
    </row>
    <row r="11" spans="1:9" x14ac:dyDescent="0.35">
      <c r="A11" t="s">
        <v>179</v>
      </c>
      <c r="B11" t="s">
        <v>183</v>
      </c>
      <c r="C11" t="s">
        <v>184</v>
      </c>
      <c r="D11">
        <v>1</v>
      </c>
      <c r="E11">
        <v>3</v>
      </c>
      <c r="F11">
        <v>6</v>
      </c>
      <c r="G11">
        <v>12</v>
      </c>
      <c r="I11" t="s">
        <v>185</v>
      </c>
    </row>
    <row r="12" spans="1:9" x14ac:dyDescent="0.35">
      <c r="A12" t="s">
        <v>3</v>
      </c>
      <c r="B12" t="s">
        <v>186</v>
      </c>
      <c r="C12" t="s">
        <v>187</v>
      </c>
      <c r="D12" t="s">
        <v>46</v>
      </c>
      <c r="E12" t="s">
        <v>46</v>
      </c>
      <c r="F12" t="s">
        <v>46</v>
      </c>
      <c r="G12" t="s">
        <v>46</v>
      </c>
      <c r="I12" t="s">
        <v>47</v>
      </c>
    </row>
    <row r="13" spans="1:9" x14ac:dyDescent="0.35">
      <c r="A13" t="s">
        <v>3</v>
      </c>
      <c r="B13" t="s">
        <v>188</v>
      </c>
      <c r="C13" t="s">
        <v>189</v>
      </c>
      <c r="D13" t="s">
        <v>46</v>
      </c>
      <c r="E13" t="s">
        <v>46</v>
      </c>
      <c r="F13" t="s">
        <v>46</v>
      </c>
      <c r="G13" t="s">
        <v>46</v>
      </c>
      <c r="I13" t="s">
        <v>47</v>
      </c>
    </row>
    <row r="14" spans="1:9" x14ac:dyDescent="0.35">
      <c r="A14" t="s">
        <v>3</v>
      </c>
      <c r="B14" t="s">
        <v>190</v>
      </c>
      <c r="C14" t="s">
        <v>191</v>
      </c>
      <c r="D14" t="s">
        <v>46</v>
      </c>
      <c r="E14" t="s">
        <v>46</v>
      </c>
      <c r="F14" t="s">
        <v>46</v>
      </c>
      <c r="G14" t="s">
        <v>46</v>
      </c>
      <c r="I14" t="s">
        <v>47</v>
      </c>
    </row>
    <row r="15" spans="1:9" x14ac:dyDescent="0.35">
      <c r="A15" t="s">
        <v>3</v>
      </c>
      <c r="B15" t="s">
        <v>192</v>
      </c>
      <c r="C15" t="s">
        <v>193</v>
      </c>
      <c r="D15" t="s">
        <v>46</v>
      </c>
      <c r="E15" t="s">
        <v>46</v>
      </c>
      <c r="F15" t="s">
        <v>46</v>
      </c>
      <c r="G15" t="s">
        <v>46</v>
      </c>
      <c r="I15" t="s">
        <v>47</v>
      </c>
    </row>
    <row r="16" spans="1:9" x14ac:dyDescent="0.35">
      <c r="A16" t="s">
        <v>3</v>
      </c>
      <c r="B16" t="s">
        <v>194</v>
      </c>
      <c r="C16" t="s">
        <v>195</v>
      </c>
      <c r="D16" t="s">
        <v>46</v>
      </c>
      <c r="E16" t="s">
        <v>46</v>
      </c>
      <c r="F16" t="s">
        <v>46</v>
      </c>
      <c r="G16" t="s">
        <v>46</v>
      </c>
      <c r="I16" t="s">
        <v>47</v>
      </c>
    </row>
    <row r="17" spans="1:9" x14ac:dyDescent="0.35">
      <c r="A17" t="s">
        <v>3</v>
      </c>
      <c r="B17" t="s">
        <v>196</v>
      </c>
      <c r="C17" t="s">
        <v>197</v>
      </c>
      <c r="D17" t="s">
        <v>46</v>
      </c>
      <c r="E17" t="s">
        <v>46</v>
      </c>
      <c r="F17" t="s">
        <v>46</v>
      </c>
      <c r="G17" t="s">
        <v>46</v>
      </c>
      <c r="I17" t="s">
        <v>47</v>
      </c>
    </row>
    <row r="18" spans="1:9" x14ac:dyDescent="0.35">
      <c r="A18" t="s">
        <v>3</v>
      </c>
      <c r="B18" t="s">
        <v>198</v>
      </c>
      <c r="C18" t="s">
        <v>199</v>
      </c>
      <c r="D18" t="s">
        <v>46</v>
      </c>
      <c r="E18" t="s">
        <v>46</v>
      </c>
      <c r="F18" t="s">
        <v>46</v>
      </c>
      <c r="G18" t="s">
        <v>46</v>
      </c>
      <c r="I18" t="s">
        <v>47</v>
      </c>
    </row>
    <row r="19" spans="1:9" x14ac:dyDescent="0.35">
      <c r="A19" t="s">
        <v>3</v>
      </c>
      <c r="B19" t="s">
        <v>200</v>
      </c>
      <c r="C19" t="s">
        <v>201</v>
      </c>
      <c r="D19" t="s">
        <v>46</v>
      </c>
      <c r="E19" t="s">
        <v>46</v>
      </c>
      <c r="F19" t="s">
        <v>46</v>
      </c>
      <c r="G19" t="s">
        <v>46</v>
      </c>
      <c r="I19" t="s">
        <v>47</v>
      </c>
    </row>
    <row r="20" spans="1:9" x14ac:dyDescent="0.35">
      <c r="A20" t="s">
        <v>3</v>
      </c>
      <c r="B20" t="s">
        <v>202</v>
      </c>
      <c r="C20" t="s">
        <v>203</v>
      </c>
      <c r="D20" t="s">
        <v>46</v>
      </c>
      <c r="E20" t="s">
        <v>46</v>
      </c>
      <c r="F20" t="s">
        <v>46</v>
      </c>
      <c r="G20" t="s">
        <v>46</v>
      </c>
      <c r="I20" t="s">
        <v>47</v>
      </c>
    </row>
    <row r="21" spans="1:9" x14ac:dyDescent="0.35">
      <c r="A21" t="s">
        <v>3</v>
      </c>
      <c r="B21" t="s">
        <v>204</v>
      </c>
      <c r="C21" t="s">
        <v>205</v>
      </c>
      <c r="D21" t="s">
        <v>46</v>
      </c>
      <c r="E21" t="s">
        <v>46</v>
      </c>
      <c r="F21" t="s">
        <v>46</v>
      </c>
      <c r="G21" t="s">
        <v>46</v>
      </c>
      <c r="I21" t="s">
        <v>206</v>
      </c>
    </row>
    <row r="22" spans="1:9" x14ac:dyDescent="0.35">
      <c r="A22" t="s">
        <v>3</v>
      </c>
      <c r="B22" t="s">
        <v>207</v>
      </c>
      <c r="C22" t="s">
        <v>208</v>
      </c>
      <c r="E22" t="s">
        <v>46</v>
      </c>
      <c r="F22" t="s">
        <v>46</v>
      </c>
      <c r="G22" t="s">
        <v>46</v>
      </c>
      <c r="H22" t="s">
        <v>7</v>
      </c>
      <c r="I22" t="s">
        <v>206</v>
      </c>
    </row>
    <row r="23" spans="1:9" x14ac:dyDescent="0.35">
      <c r="A23" t="s">
        <v>3</v>
      </c>
      <c r="B23" t="s">
        <v>209</v>
      </c>
      <c r="C23" t="s">
        <v>210</v>
      </c>
      <c r="D23" t="s">
        <v>46</v>
      </c>
      <c r="E23" t="s">
        <v>46</v>
      </c>
      <c r="F23" t="s">
        <v>46</v>
      </c>
      <c r="G23" t="s">
        <v>46</v>
      </c>
      <c r="I23" t="s">
        <v>211</v>
      </c>
    </row>
    <row r="24" spans="1:9" x14ac:dyDescent="0.35">
      <c r="A24" t="s">
        <v>3</v>
      </c>
      <c r="B24" t="s">
        <v>212</v>
      </c>
      <c r="C24" t="s">
        <v>213</v>
      </c>
      <c r="D24" t="s">
        <v>46</v>
      </c>
      <c r="E24" t="s">
        <v>46</v>
      </c>
      <c r="F24" t="s">
        <v>46</v>
      </c>
      <c r="G24" t="s">
        <v>46</v>
      </c>
      <c r="I24" t="s">
        <v>211</v>
      </c>
    </row>
    <row r="25" spans="1:9" x14ac:dyDescent="0.35">
      <c r="A25" t="s">
        <v>3</v>
      </c>
      <c r="B25" t="s">
        <v>214</v>
      </c>
      <c r="C25" t="s">
        <v>215</v>
      </c>
      <c r="E25" t="s">
        <v>46</v>
      </c>
      <c r="F25" t="s">
        <v>46</v>
      </c>
      <c r="G25" t="s">
        <v>46</v>
      </c>
      <c r="H25" t="s">
        <v>7</v>
      </c>
      <c r="I25" t="s">
        <v>68</v>
      </c>
    </row>
    <row r="26" spans="1:9" x14ac:dyDescent="0.35">
      <c r="A26" t="s">
        <v>3</v>
      </c>
      <c r="B26" t="s">
        <v>116</v>
      </c>
      <c r="C26" t="s">
        <v>216</v>
      </c>
      <c r="F26" t="s">
        <v>46</v>
      </c>
      <c r="G26" t="s">
        <v>46</v>
      </c>
      <c r="H26" t="s">
        <v>8</v>
      </c>
      <c r="I26" t="s">
        <v>217</v>
      </c>
    </row>
    <row r="27" spans="1:9" x14ac:dyDescent="0.35">
      <c r="A27" t="s">
        <v>3</v>
      </c>
      <c r="B27" t="s">
        <v>218</v>
      </c>
      <c r="C27" t="s">
        <v>219</v>
      </c>
      <c r="F27" t="s">
        <v>46</v>
      </c>
      <c r="G27" t="s">
        <v>46</v>
      </c>
      <c r="H27" t="s">
        <v>8</v>
      </c>
      <c r="I27" t="s">
        <v>211</v>
      </c>
    </row>
    <row r="28" spans="1:9" x14ac:dyDescent="0.35">
      <c r="A28" t="s">
        <v>3</v>
      </c>
      <c r="B28" t="s">
        <v>220</v>
      </c>
      <c r="C28" t="s">
        <v>221</v>
      </c>
      <c r="F28" t="s">
        <v>46</v>
      </c>
      <c r="G28" t="s">
        <v>46</v>
      </c>
      <c r="H28" t="s">
        <v>8</v>
      </c>
      <c r="I28" t="s">
        <v>211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"/>
  <sheetViews>
    <sheetView workbookViewId="0"/>
  </sheetViews>
  <sheetFormatPr defaultRowHeight="14.5" x14ac:dyDescent="0.35"/>
  <sheetData>
    <row r="1" spans="1:9" x14ac:dyDescent="0.35">
      <c r="A1" t="s">
        <v>222</v>
      </c>
    </row>
    <row r="2" spans="1:9" x14ac:dyDescent="0.35">
      <c r="A2" t="s">
        <v>169</v>
      </c>
    </row>
    <row r="3" spans="1:9" x14ac:dyDescent="0.35">
      <c r="A3" t="s">
        <v>2</v>
      </c>
      <c r="B3" t="s">
        <v>3</v>
      </c>
      <c r="C3" t="s">
        <v>4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</row>
    <row r="4" spans="1:9" x14ac:dyDescent="0.35">
      <c r="A4" t="s">
        <v>21</v>
      </c>
      <c r="B4" t="s">
        <v>223</v>
      </c>
      <c r="C4" t="s">
        <v>224</v>
      </c>
      <c r="D4">
        <v>0</v>
      </c>
      <c r="E4">
        <v>899</v>
      </c>
      <c r="F4">
        <v>1999</v>
      </c>
      <c r="G4">
        <v>3999</v>
      </c>
      <c r="I4" t="s">
        <v>225</v>
      </c>
    </row>
    <row r="5" spans="1:9" x14ac:dyDescent="0.35">
      <c r="A5" t="s">
        <v>21</v>
      </c>
      <c r="B5" t="s">
        <v>226</v>
      </c>
      <c r="C5" t="s">
        <v>227</v>
      </c>
      <c r="D5">
        <v>0</v>
      </c>
      <c r="E5">
        <v>75</v>
      </c>
      <c r="F5">
        <v>167</v>
      </c>
      <c r="G5">
        <v>333</v>
      </c>
      <c r="I5" t="s">
        <v>228</v>
      </c>
    </row>
    <row r="6" spans="1:9" x14ac:dyDescent="0.35">
      <c r="A6" t="s">
        <v>25</v>
      </c>
      <c r="B6" t="s">
        <v>26</v>
      </c>
      <c r="C6" t="s">
        <v>27</v>
      </c>
      <c r="D6">
        <v>1</v>
      </c>
      <c r="E6">
        <v>2</v>
      </c>
      <c r="F6">
        <v>5</v>
      </c>
      <c r="G6">
        <v>10</v>
      </c>
      <c r="I6" t="s">
        <v>28</v>
      </c>
    </row>
    <row r="7" spans="1:9" x14ac:dyDescent="0.35">
      <c r="A7" t="s">
        <v>25</v>
      </c>
      <c r="B7" t="s">
        <v>229</v>
      </c>
      <c r="C7" t="s">
        <v>230</v>
      </c>
      <c r="D7">
        <v>300</v>
      </c>
      <c r="E7">
        <v>1000</v>
      </c>
      <c r="F7">
        <v>2500</v>
      </c>
      <c r="I7" t="s">
        <v>231</v>
      </c>
    </row>
    <row r="8" spans="1:9" x14ac:dyDescent="0.35">
      <c r="A8" t="s">
        <v>25</v>
      </c>
      <c r="B8" t="s">
        <v>29</v>
      </c>
      <c r="C8" t="s">
        <v>30</v>
      </c>
      <c r="D8">
        <v>5000</v>
      </c>
      <c r="E8">
        <v>20000</v>
      </c>
      <c r="F8">
        <v>50000</v>
      </c>
      <c r="G8">
        <v>100000</v>
      </c>
      <c r="I8" t="s">
        <v>177</v>
      </c>
    </row>
    <row r="9" spans="1:9" x14ac:dyDescent="0.35">
      <c r="A9" t="s">
        <v>32</v>
      </c>
      <c r="B9" t="s">
        <v>33</v>
      </c>
      <c r="C9" t="s">
        <v>34</v>
      </c>
      <c r="D9">
        <v>0</v>
      </c>
      <c r="E9">
        <v>0</v>
      </c>
      <c r="F9">
        <v>0</v>
      </c>
      <c r="G9">
        <v>0</v>
      </c>
      <c r="I9" t="s">
        <v>232</v>
      </c>
    </row>
    <row r="10" spans="1:9" x14ac:dyDescent="0.35">
      <c r="A10" t="s">
        <v>179</v>
      </c>
      <c r="B10" t="s">
        <v>180</v>
      </c>
      <c r="C10" t="s">
        <v>181</v>
      </c>
      <c r="D10">
        <v>50</v>
      </c>
      <c r="E10">
        <v>150</v>
      </c>
      <c r="F10">
        <v>400</v>
      </c>
      <c r="I10" t="s">
        <v>233</v>
      </c>
    </row>
    <row r="11" spans="1:9" x14ac:dyDescent="0.35">
      <c r="A11" t="s">
        <v>179</v>
      </c>
      <c r="B11" t="s">
        <v>183</v>
      </c>
      <c r="C11" t="s">
        <v>184</v>
      </c>
      <c r="D11">
        <v>1</v>
      </c>
      <c r="E11">
        <v>3</v>
      </c>
      <c r="F11">
        <v>6</v>
      </c>
      <c r="G11">
        <v>12</v>
      </c>
      <c r="I11" t="s">
        <v>185</v>
      </c>
    </row>
    <row r="12" spans="1:9" x14ac:dyDescent="0.35">
      <c r="A12" t="s">
        <v>3</v>
      </c>
      <c r="B12" t="s">
        <v>186</v>
      </c>
      <c r="C12" t="s">
        <v>187</v>
      </c>
      <c r="D12" t="s">
        <v>46</v>
      </c>
      <c r="E12" t="s">
        <v>46</v>
      </c>
      <c r="F12" t="s">
        <v>46</v>
      </c>
      <c r="G12" t="s">
        <v>46</v>
      </c>
      <c r="I12" t="s">
        <v>47</v>
      </c>
    </row>
    <row r="13" spans="1:9" x14ac:dyDescent="0.35">
      <c r="A13" t="s">
        <v>3</v>
      </c>
      <c r="B13" t="s">
        <v>188</v>
      </c>
      <c r="C13" t="s">
        <v>189</v>
      </c>
      <c r="D13" t="s">
        <v>46</v>
      </c>
      <c r="E13" t="s">
        <v>46</v>
      </c>
      <c r="F13" t="s">
        <v>46</v>
      </c>
      <c r="G13" t="s">
        <v>46</v>
      </c>
      <c r="I13" t="s">
        <v>47</v>
      </c>
    </row>
    <row r="14" spans="1:9" x14ac:dyDescent="0.35">
      <c r="A14" t="s">
        <v>3</v>
      </c>
      <c r="B14" t="s">
        <v>190</v>
      </c>
      <c r="C14" t="s">
        <v>191</v>
      </c>
      <c r="D14" t="s">
        <v>46</v>
      </c>
      <c r="E14" t="s">
        <v>46</v>
      </c>
      <c r="F14" t="s">
        <v>46</v>
      </c>
      <c r="G14" t="s">
        <v>46</v>
      </c>
      <c r="I14" t="s">
        <v>47</v>
      </c>
    </row>
    <row r="15" spans="1:9" x14ac:dyDescent="0.35">
      <c r="A15" t="s">
        <v>3</v>
      </c>
      <c r="B15" t="s">
        <v>192</v>
      </c>
      <c r="C15" t="s">
        <v>193</v>
      </c>
      <c r="D15" t="s">
        <v>46</v>
      </c>
      <c r="E15" t="s">
        <v>46</v>
      </c>
      <c r="F15" t="s">
        <v>46</v>
      </c>
      <c r="G15" t="s">
        <v>46</v>
      </c>
      <c r="I15" t="s">
        <v>47</v>
      </c>
    </row>
    <row r="16" spans="1:9" x14ac:dyDescent="0.35">
      <c r="A16" t="s">
        <v>3</v>
      </c>
      <c r="B16" t="s">
        <v>194</v>
      </c>
      <c r="C16" t="s">
        <v>195</v>
      </c>
      <c r="D16" t="s">
        <v>46</v>
      </c>
      <c r="E16" t="s">
        <v>46</v>
      </c>
      <c r="F16" t="s">
        <v>46</v>
      </c>
      <c r="G16" t="s">
        <v>46</v>
      </c>
      <c r="I16" t="s">
        <v>47</v>
      </c>
    </row>
    <row r="17" spans="1:9" x14ac:dyDescent="0.35">
      <c r="A17" t="s">
        <v>3</v>
      </c>
      <c r="B17" t="s">
        <v>196</v>
      </c>
      <c r="C17" t="s">
        <v>197</v>
      </c>
      <c r="D17" t="s">
        <v>46</v>
      </c>
      <c r="E17" t="s">
        <v>46</v>
      </c>
      <c r="F17" t="s">
        <v>46</v>
      </c>
      <c r="G17" t="s">
        <v>46</v>
      </c>
      <c r="I17" t="s">
        <v>47</v>
      </c>
    </row>
    <row r="18" spans="1:9" x14ac:dyDescent="0.35">
      <c r="A18" t="s">
        <v>3</v>
      </c>
      <c r="B18" t="s">
        <v>198</v>
      </c>
      <c r="C18" t="s">
        <v>199</v>
      </c>
      <c r="D18" t="s">
        <v>46</v>
      </c>
      <c r="E18" t="s">
        <v>46</v>
      </c>
      <c r="F18" t="s">
        <v>46</v>
      </c>
      <c r="G18" t="s">
        <v>46</v>
      </c>
      <c r="I18" t="s">
        <v>47</v>
      </c>
    </row>
    <row r="19" spans="1:9" x14ac:dyDescent="0.35">
      <c r="A19" t="s">
        <v>3</v>
      </c>
      <c r="B19" t="s">
        <v>200</v>
      </c>
      <c r="C19" t="s">
        <v>201</v>
      </c>
      <c r="D19" t="s">
        <v>46</v>
      </c>
      <c r="E19" t="s">
        <v>46</v>
      </c>
      <c r="F19" t="s">
        <v>46</v>
      </c>
      <c r="G19" t="s">
        <v>46</v>
      </c>
      <c r="I19" t="s">
        <v>47</v>
      </c>
    </row>
    <row r="20" spans="1:9" x14ac:dyDescent="0.35">
      <c r="A20" t="s">
        <v>3</v>
      </c>
      <c r="B20" t="s">
        <v>202</v>
      </c>
      <c r="C20" t="s">
        <v>203</v>
      </c>
      <c r="D20" t="s">
        <v>46</v>
      </c>
      <c r="E20" t="s">
        <v>46</v>
      </c>
      <c r="F20" t="s">
        <v>46</v>
      </c>
      <c r="G20" t="s">
        <v>46</v>
      </c>
      <c r="I20" t="s">
        <v>47</v>
      </c>
    </row>
    <row r="21" spans="1:9" x14ac:dyDescent="0.35">
      <c r="A21" t="s">
        <v>3</v>
      </c>
      <c r="B21" t="s">
        <v>204</v>
      </c>
      <c r="C21" t="s">
        <v>205</v>
      </c>
      <c r="D21" t="s">
        <v>46</v>
      </c>
      <c r="E21" t="s">
        <v>46</v>
      </c>
      <c r="F21" t="s">
        <v>46</v>
      </c>
      <c r="G21" t="s">
        <v>46</v>
      </c>
      <c r="I21" t="s">
        <v>206</v>
      </c>
    </row>
    <row r="22" spans="1:9" x14ac:dyDescent="0.35">
      <c r="A22" t="s">
        <v>3</v>
      </c>
      <c r="B22" t="s">
        <v>207</v>
      </c>
      <c r="C22" t="s">
        <v>208</v>
      </c>
      <c r="E22" t="s">
        <v>46</v>
      </c>
      <c r="F22" t="s">
        <v>46</v>
      </c>
      <c r="G22" t="s">
        <v>46</v>
      </c>
      <c r="H22" t="s">
        <v>7</v>
      </c>
      <c r="I22" t="s">
        <v>206</v>
      </c>
    </row>
    <row r="23" spans="1:9" x14ac:dyDescent="0.35">
      <c r="A23" t="s">
        <v>3</v>
      </c>
      <c r="B23" t="s">
        <v>209</v>
      </c>
      <c r="C23" t="s">
        <v>210</v>
      </c>
      <c r="D23" t="s">
        <v>46</v>
      </c>
      <c r="E23" t="s">
        <v>46</v>
      </c>
      <c r="F23" t="s">
        <v>46</v>
      </c>
      <c r="G23" t="s">
        <v>46</v>
      </c>
      <c r="I23" t="s">
        <v>211</v>
      </c>
    </row>
    <row r="24" spans="1:9" x14ac:dyDescent="0.35">
      <c r="A24" t="s">
        <v>3</v>
      </c>
      <c r="B24" t="s">
        <v>212</v>
      </c>
      <c r="C24" t="s">
        <v>213</v>
      </c>
      <c r="D24" t="s">
        <v>46</v>
      </c>
      <c r="E24" t="s">
        <v>46</v>
      </c>
      <c r="F24" t="s">
        <v>46</v>
      </c>
      <c r="G24" t="s">
        <v>46</v>
      </c>
      <c r="I24" t="s">
        <v>211</v>
      </c>
    </row>
    <row r="25" spans="1:9" x14ac:dyDescent="0.35">
      <c r="A25" t="s">
        <v>3</v>
      </c>
      <c r="B25" t="s">
        <v>214</v>
      </c>
      <c r="C25" t="s">
        <v>215</v>
      </c>
      <c r="E25" t="s">
        <v>46</v>
      </c>
      <c r="F25" t="s">
        <v>46</v>
      </c>
      <c r="G25" t="s">
        <v>46</v>
      </c>
      <c r="H25" t="s">
        <v>7</v>
      </c>
      <c r="I25" t="s">
        <v>68</v>
      </c>
    </row>
    <row r="26" spans="1:9" x14ac:dyDescent="0.35">
      <c r="A26" t="s">
        <v>3</v>
      </c>
      <c r="B26" t="s">
        <v>116</v>
      </c>
      <c r="C26" t="s">
        <v>216</v>
      </c>
      <c r="F26" t="s">
        <v>46</v>
      </c>
      <c r="G26" t="s">
        <v>46</v>
      </c>
      <c r="H26" t="s">
        <v>8</v>
      </c>
      <c r="I26" t="s">
        <v>217</v>
      </c>
    </row>
    <row r="27" spans="1:9" x14ac:dyDescent="0.35">
      <c r="A27" t="s">
        <v>3</v>
      </c>
      <c r="B27" t="s">
        <v>218</v>
      </c>
      <c r="C27" t="s">
        <v>219</v>
      </c>
      <c r="F27" t="s">
        <v>46</v>
      </c>
      <c r="G27" t="s">
        <v>46</v>
      </c>
      <c r="H27" t="s">
        <v>8</v>
      </c>
      <c r="I27" t="s">
        <v>211</v>
      </c>
    </row>
    <row r="28" spans="1:9" x14ac:dyDescent="0.35">
      <c r="A28" t="s">
        <v>3</v>
      </c>
      <c r="B28" t="s">
        <v>220</v>
      </c>
      <c r="C28" t="s">
        <v>221</v>
      </c>
      <c r="F28" t="s">
        <v>46</v>
      </c>
      <c r="G28" t="s">
        <v>46</v>
      </c>
      <c r="H28" t="s">
        <v>8</v>
      </c>
      <c r="I28" t="s">
        <v>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"/>
  <sheetViews>
    <sheetView tabSelected="1" topLeftCell="A4" workbookViewId="0">
      <selection activeCell="I16" sqref="I16"/>
    </sheetView>
  </sheetViews>
  <sheetFormatPr defaultRowHeight="14.5" x14ac:dyDescent="0.35"/>
  <cols>
    <col min="3" max="3" width="18.81640625" bestFit="1" customWidth="1"/>
  </cols>
  <sheetData>
    <row r="1" spans="1:10" x14ac:dyDescent="0.35">
      <c r="A1" t="s">
        <v>234</v>
      </c>
    </row>
    <row r="2" spans="1:10" x14ac:dyDescent="0.35">
      <c r="A2" t="s">
        <v>235</v>
      </c>
    </row>
    <row r="3" spans="1:10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 x14ac:dyDescent="0.35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J4" t="s">
        <v>20</v>
      </c>
    </row>
    <row r="5" spans="1:10" x14ac:dyDescent="0.35">
      <c r="A5" t="s">
        <v>21</v>
      </c>
      <c r="B5" t="s">
        <v>223</v>
      </c>
      <c r="C5" t="s">
        <v>224</v>
      </c>
      <c r="D5">
        <f>ACCOUNTSHQ!D5/90*4</f>
        <v>0</v>
      </c>
      <c r="E5">
        <f>ACCOUNTSHQ!E5/90*4</f>
        <v>0</v>
      </c>
      <c r="F5">
        <v>99</v>
      </c>
      <c r="G5">
        <v>229</v>
      </c>
      <c r="H5">
        <v>449</v>
      </c>
      <c r="J5" t="s">
        <v>236</v>
      </c>
    </row>
    <row r="6" spans="1:10" x14ac:dyDescent="0.35">
      <c r="A6" t="s">
        <v>25</v>
      </c>
      <c r="B6" t="s">
        <v>26</v>
      </c>
      <c r="C6" t="s">
        <v>27</v>
      </c>
      <c r="D6">
        <v>1</v>
      </c>
      <c r="E6">
        <v>1</v>
      </c>
      <c r="F6">
        <v>2</v>
      </c>
      <c r="G6">
        <v>5</v>
      </c>
      <c r="H6">
        <v>10</v>
      </c>
      <c r="J6" t="s">
        <v>61</v>
      </c>
    </row>
    <row r="7" spans="1:10" x14ac:dyDescent="0.35">
      <c r="A7" t="s">
        <v>25</v>
      </c>
      <c r="B7" t="s">
        <v>29</v>
      </c>
      <c r="C7" t="s">
        <v>30</v>
      </c>
      <c r="D7">
        <v>50</v>
      </c>
      <c r="E7">
        <v>5000</v>
      </c>
      <c r="F7">
        <v>20000</v>
      </c>
      <c r="G7">
        <v>50000</v>
      </c>
      <c r="H7">
        <v>100000</v>
      </c>
      <c r="J7" t="s">
        <v>237</v>
      </c>
    </row>
    <row r="8" spans="1:10" x14ac:dyDescent="0.35">
      <c r="A8" t="s">
        <v>179</v>
      </c>
      <c r="B8" t="s">
        <v>238</v>
      </c>
      <c r="C8" t="s">
        <v>239</v>
      </c>
      <c r="E8">
        <v>10</v>
      </c>
      <c r="F8">
        <v>50</v>
      </c>
      <c r="G8">
        <v>200</v>
      </c>
      <c r="J8" t="s">
        <v>240</v>
      </c>
    </row>
    <row r="9" spans="1:10" x14ac:dyDescent="0.35">
      <c r="A9" t="s">
        <v>32</v>
      </c>
      <c r="B9" t="s">
        <v>33</v>
      </c>
      <c r="C9" t="s">
        <v>34</v>
      </c>
      <c r="D9">
        <v>0</v>
      </c>
      <c r="E9">
        <v>0</v>
      </c>
      <c r="F9">
        <v>0</v>
      </c>
      <c r="G9">
        <v>0</v>
      </c>
      <c r="H9">
        <v>0</v>
      </c>
      <c r="J9" t="s">
        <v>241</v>
      </c>
    </row>
    <row r="10" spans="1:10" x14ac:dyDescent="0.35">
      <c r="A10" t="s">
        <v>12</v>
      </c>
      <c r="B10" t="s">
        <v>36</v>
      </c>
      <c r="C10" t="s">
        <v>37</v>
      </c>
      <c r="D10" t="s">
        <v>242</v>
      </c>
      <c r="E10" t="s">
        <v>243</v>
      </c>
      <c r="F10" t="s">
        <v>244</v>
      </c>
      <c r="G10" t="s">
        <v>245</v>
      </c>
      <c r="H10" t="s">
        <v>246</v>
      </c>
      <c r="J10" t="s">
        <v>43</v>
      </c>
    </row>
    <row r="11" spans="1:10" x14ac:dyDescent="0.35">
      <c r="A11" t="s">
        <v>3</v>
      </c>
      <c r="B11" t="s">
        <v>44</v>
      </c>
      <c r="C11" t="s">
        <v>45</v>
      </c>
      <c r="D11" t="s">
        <v>46</v>
      </c>
      <c r="E11" t="s">
        <v>46</v>
      </c>
      <c r="F11" t="s">
        <v>46</v>
      </c>
      <c r="G11" t="s">
        <v>46</v>
      </c>
      <c r="H11" t="s">
        <v>46</v>
      </c>
      <c r="J11" t="s">
        <v>247</v>
      </c>
    </row>
    <row r="12" spans="1:10" x14ac:dyDescent="0.35">
      <c r="A12" t="s">
        <v>3</v>
      </c>
      <c r="B12" t="s">
        <v>48</v>
      </c>
      <c r="C12" t="s">
        <v>49</v>
      </c>
      <c r="D12" t="s">
        <v>46</v>
      </c>
      <c r="E12" t="s">
        <v>46</v>
      </c>
      <c r="F12" t="s">
        <v>46</v>
      </c>
      <c r="G12" t="s">
        <v>46</v>
      </c>
      <c r="H12" t="s">
        <v>46</v>
      </c>
      <c r="J12" t="s">
        <v>248</v>
      </c>
    </row>
    <row r="13" spans="1:10" x14ac:dyDescent="0.35">
      <c r="A13" t="s">
        <v>3</v>
      </c>
      <c r="B13" t="s">
        <v>50</v>
      </c>
      <c r="C13" t="s">
        <v>51</v>
      </c>
      <c r="D13" t="s">
        <v>46</v>
      </c>
      <c r="E13" t="s">
        <v>46</v>
      </c>
      <c r="F13" t="s">
        <v>46</v>
      </c>
      <c r="G13" t="s">
        <v>46</v>
      </c>
      <c r="H13" t="s">
        <v>46</v>
      </c>
      <c r="J13" t="s">
        <v>249</v>
      </c>
    </row>
    <row r="14" spans="1:10" x14ac:dyDescent="0.35">
      <c r="A14" t="s">
        <v>3</v>
      </c>
      <c r="B14" t="s">
        <v>52</v>
      </c>
      <c r="C14" t="s">
        <v>53</v>
      </c>
      <c r="D14" t="s">
        <v>46</v>
      </c>
      <c r="E14" t="s">
        <v>46</v>
      </c>
      <c r="F14" t="s">
        <v>46</v>
      </c>
      <c r="G14" t="s">
        <v>46</v>
      </c>
      <c r="H14" t="s">
        <v>46</v>
      </c>
      <c r="J14" t="s">
        <v>250</v>
      </c>
    </row>
    <row r="15" spans="1:10" x14ac:dyDescent="0.35">
      <c r="A15" t="s">
        <v>3</v>
      </c>
      <c r="B15" t="s">
        <v>54</v>
      </c>
      <c r="C15" t="s">
        <v>55</v>
      </c>
      <c r="D15" t="s">
        <v>46</v>
      </c>
      <c r="E15" t="s">
        <v>46</v>
      </c>
      <c r="F15" t="s">
        <v>46</v>
      </c>
      <c r="G15" t="s">
        <v>46</v>
      </c>
      <c r="H15" t="s">
        <v>46</v>
      </c>
      <c r="J15" t="s">
        <v>251</v>
      </c>
    </row>
    <row r="16" spans="1:10" x14ac:dyDescent="0.35">
      <c r="A16" t="s">
        <v>3</v>
      </c>
      <c r="B16" t="s">
        <v>57</v>
      </c>
      <c r="C16" t="s">
        <v>58</v>
      </c>
      <c r="D16" t="s">
        <v>46</v>
      </c>
      <c r="E16" t="s">
        <v>46</v>
      </c>
      <c r="F16" t="s">
        <v>46</v>
      </c>
      <c r="G16" t="s">
        <v>46</v>
      </c>
      <c r="H16" t="s">
        <v>46</v>
      </c>
      <c r="J16" t="s">
        <v>252</v>
      </c>
    </row>
    <row r="17" spans="1:10" x14ac:dyDescent="0.35">
      <c r="A17" t="s">
        <v>3</v>
      </c>
      <c r="B17" t="s">
        <v>253</v>
      </c>
      <c r="C17" t="s">
        <v>254</v>
      </c>
      <c r="D17" t="s">
        <v>46</v>
      </c>
      <c r="E17" t="s">
        <v>46</v>
      </c>
      <c r="F17" t="s">
        <v>46</v>
      </c>
      <c r="G17" t="s">
        <v>46</v>
      </c>
      <c r="H17" t="s">
        <v>46</v>
      </c>
      <c r="J17" t="s">
        <v>255</v>
      </c>
    </row>
    <row r="18" spans="1:10" x14ac:dyDescent="0.35">
      <c r="A18" t="s">
        <v>3</v>
      </c>
      <c r="B18" t="s">
        <v>256</v>
      </c>
      <c r="C18" t="s">
        <v>257</v>
      </c>
      <c r="D18" t="s">
        <v>46</v>
      </c>
      <c r="E18" t="s">
        <v>46</v>
      </c>
      <c r="F18" t="s">
        <v>46</v>
      </c>
      <c r="G18" t="s">
        <v>46</v>
      </c>
      <c r="H18" t="s">
        <v>46</v>
      </c>
      <c r="J18" t="s">
        <v>258</v>
      </c>
    </row>
    <row r="19" spans="1:10" x14ac:dyDescent="0.35">
      <c r="A19" t="s">
        <v>3</v>
      </c>
      <c r="B19" t="s">
        <v>114</v>
      </c>
      <c r="C19" t="s">
        <v>115</v>
      </c>
      <c r="D19" t="s">
        <v>46</v>
      </c>
      <c r="E19" t="s">
        <v>46</v>
      </c>
      <c r="F19" t="s">
        <v>46</v>
      </c>
      <c r="G19" t="s">
        <v>46</v>
      </c>
      <c r="H19" t="s">
        <v>46</v>
      </c>
      <c r="J19" t="s">
        <v>259</v>
      </c>
    </row>
    <row r="20" spans="1:10" x14ac:dyDescent="0.35">
      <c r="A20" t="s">
        <v>3</v>
      </c>
      <c r="B20" t="s">
        <v>109</v>
      </c>
      <c r="C20" t="s">
        <v>110</v>
      </c>
      <c r="D20" t="s">
        <v>46</v>
      </c>
      <c r="E20" t="s">
        <v>46</v>
      </c>
      <c r="F20" t="s">
        <v>46</v>
      </c>
      <c r="G20" t="s">
        <v>46</v>
      </c>
      <c r="H20" t="s">
        <v>46</v>
      </c>
      <c r="J20" t="s">
        <v>260</v>
      </c>
    </row>
    <row r="21" spans="1:10" x14ac:dyDescent="0.35">
      <c r="A21" t="s">
        <v>3</v>
      </c>
      <c r="B21" t="s">
        <v>128</v>
      </c>
      <c r="C21" t="s">
        <v>129</v>
      </c>
      <c r="D21" t="s">
        <v>46</v>
      </c>
      <c r="E21" t="s">
        <v>46</v>
      </c>
      <c r="F21" t="s">
        <v>46</v>
      </c>
      <c r="G21" t="s">
        <v>46</v>
      </c>
      <c r="H21" t="s">
        <v>46</v>
      </c>
      <c r="J21" t="s">
        <v>261</v>
      </c>
    </row>
    <row r="22" spans="1:10" x14ac:dyDescent="0.35">
      <c r="A22" t="s">
        <v>3</v>
      </c>
      <c r="B22" t="s">
        <v>66</v>
      </c>
      <c r="C22" t="s">
        <v>67</v>
      </c>
      <c r="D22" t="s">
        <v>46</v>
      </c>
      <c r="E22" t="s">
        <v>46</v>
      </c>
      <c r="F22" t="s">
        <v>46</v>
      </c>
      <c r="G22" t="s">
        <v>46</v>
      </c>
      <c r="H22" t="s">
        <v>46</v>
      </c>
      <c r="J22" t="s">
        <v>262</v>
      </c>
    </row>
    <row r="23" spans="1:10" x14ac:dyDescent="0.35">
      <c r="A23" t="s">
        <v>3</v>
      </c>
      <c r="B23" t="s">
        <v>69</v>
      </c>
      <c r="C23" t="s">
        <v>70</v>
      </c>
      <c r="D23" t="s">
        <v>46</v>
      </c>
      <c r="E23" t="s">
        <v>46</v>
      </c>
      <c r="F23" t="s">
        <v>46</v>
      </c>
      <c r="G23" t="s">
        <v>46</v>
      </c>
      <c r="H23" t="s">
        <v>46</v>
      </c>
      <c r="J23" t="s">
        <v>263</v>
      </c>
    </row>
    <row r="24" spans="1:10" x14ac:dyDescent="0.35">
      <c r="A24" t="s">
        <v>3</v>
      </c>
      <c r="B24" t="s">
        <v>71</v>
      </c>
      <c r="C24" t="s">
        <v>72</v>
      </c>
      <c r="D24" t="s">
        <v>46</v>
      </c>
      <c r="E24" t="s">
        <v>46</v>
      </c>
      <c r="F24" t="s">
        <v>46</v>
      </c>
      <c r="G24" t="s">
        <v>46</v>
      </c>
      <c r="H24" t="s">
        <v>46</v>
      </c>
      <c r="J24" t="s">
        <v>264</v>
      </c>
    </row>
    <row r="25" spans="1:10" x14ac:dyDescent="0.35">
      <c r="A25" t="s">
        <v>3</v>
      </c>
      <c r="B25" t="s">
        <v>73</v>
      </c>
      <c r="C25" t="s">
        <v>74</v>
      </c>
      <c r="D25" t="s">
        <v>46</v>
      </c>
      <c r="E25" t="s">
        <v>46</v>
      </c>
      <c r="F25" t="s">
        <v>46</v>
      </c>
      <c r="G25" t="s">
        <v>46</v>
      </c>
      <c r="H25" t="s">
        <v>46</v>
      </c>
      <c r="J25" t="s">
        <v>265</v>
      </c>
    </row>
    <row r="26" spans="1:10" x14ac:dyDescent="0.35">
      <c r="A26" t="s">
        <v>3</v>
      </c>
      <c r="B26" t="s">
        <v>75</v>
      </c>
      <c r="C26" t="s">
        <v>76</v>
      </c>
      <c r="D26" t="s">
        <v>46</v>
      </c>
      <c r="E26" t="s">
        <v>46</v>
      </c>
      <c r="F26" t="s">
        <v>46</v>
      </c>
      <c r="G26" t="s">
        <v>46</v>
      </c>
      <c r="H26" t="s">
        <v>46</v>
      </c>
      <c r="J26" t="s">
        <v>266</v>
      </c>
    </row>
    <row r="27" spans="1:10" x14ac:dyDescent="0.35">
      <c r="A27" t="s">
        <v>3</v>
      </c>
      <c r="B27" t="s">
        <v>77</v>
      </c>
      <c r="C27" t="s">
        <v>78</v>
      </c>
      <c r="D27" t="s">
        <v>46</v>
      </c>
      <c r="E27" t="s">
        <v>46</v>
      </c>
      <c r="F27" t="s">
        <v>46</v>
      </c>
      <c r="G27" t="s">
        <v>46</v>
      </c>
      <c r="H27" t="s">
        <v>46</v>
      </c>
      <c r="J27" t="s">
        <v>267</v>
      </c>
    </row>
    <row r="28" spans="1:10" x14ac:dyDescent="0.35">
      <c r="A28" t="s">
        <v>3</v>
      </c>
      <c r="B28" t="s">
        <v>79</v>
      </c>
      <c r="C28" t="s">
        <v>80</v>
      </c>
      <c r="D28" t="s">
        <v>46</v>
      </c>
      <c r="E28" t="s">
        <v>46</v>
      </c>
      <c r="F28" t="s">
        <v>46</v>
      </c>
      <c r="G28" t="s">
        <v>46</v>
      </c>
      <c r="H28" t="s">
        <v>46</v>
      </c>
      <c r="J28" t="s">
        <v>268</v>
      </c>
    </row>
    <row r="29" spans="1:10" x14ac:dyDescent="0.35">
      <c r="A29" t="s">
        <v>3</v>
      </c>
      <c r="B29" t="s">
        <v>83</v>
      </c>
      <c r="C29" t="s">
        <v>84</v>
      </c>
      <c r="D29" t="s">
        <v>46</v>
      </c>
      <c r="E29" t="s">
        <v>46</v>
      </c>
      <c r="F29" t="s">
        <v>46</v>
      </c>
      <c r="G29" t="s">
        <v>46</v>
      </c>
      <c r="H29" t="s">
        <v>46</v>
      </c>
      <c r="J29" t="s">
        <v>269</v>
      </c>
    </row>
    <row r="30" spans="1:10" x14ac:dyDescent="0.35">
      <c r="A30" t="s">
        <v>3</v>
      </c>
      <c r="B30" t="s">
        <v>86</v>
      </c>
      <c r="C30" t="s">
        <v>87</v>
      </c>
      <c r="D30" t="s">
        <v>46</v>
      </c>
      <c r="E30" t="s">
        <v>46</v>
      </c>
      <c r="F30" t="s">
        <v>46</v>
      </c>
      <c r="G30" t="s">
        <v>46</v>
      </c>
      <c r="H30" t="s">
        <v>46</v>
      </c>
      <c r="J30" t="s">
        <v>270</v>
      </c>
    </row>
    <row r="31" spans="1:10" x14ac:dyDescent="0.35">
      <c r="A31" t="s">
        <v>3</v>
      </c>
      <c r="B31" t="s">
        <v>81</v>
      </c>
      <c r="C31" t="s">
        <v>82</v>
      </c>
      <c r="D31" t="s">
        <v>46</v>
      </c>
      <c r="F31" t="s">
        <v>46</v>
      </c>
      <c r="G31" t="s">
        <v>46</v>
      </c>
      <c r="H31" t="s">
        <v>46</v>
      </c>
      <c r="I31" t="s">
        <v>7</v>
      </c>
      <c r="J31" t="s">
        <v>271</v>
      </c>
    </row>
    <row r="32" spans="1:10" x14ac:dyDescent="0.35">
      <c r="A32" t="s">
        <v>3</v>
      </c>
      <c r="B32" t="s">
        <v>133</v>
      </c>
      <c r="C32" t="s">
        <v>134</v>
      </c>
      <c r="D32" t="s">
        <v>46</v>
      </c>
      <c r="F32" t="s">
        <v>46</v>
      </c>
      <c r="G32" t="s">
        <v>46</v>
      </c>
      <c r="H32" t="s">
        <v>46</v>
      </c>
      <c r="I32" t="s">
        <v>7</v>
      </c>
      <c r="J32" t="s">
        <v>272</v>
      </c>
    </row>
    <row r="33" spans="1:10" x14ac:dyDescent="0.35">
      <c r="A33" t="s">
        <v>3</v>
      </c>
      <c r="B33" t="s">
        <v>88</v>
      </c>
      <c r="C33" t="s">
        <v>89</v>
      </c>
      <c r="D33" t="s">
        <v>46</v>
      </c>
      <c r="F33" t="s">
        <v>46</v>
      </c>
      <c r="G33" t="s">
        <v>46</v>
      </c>
      <c r="H33" t="s">
        <v>46</v>
      </c>
      <c r="I33" t="s">
        <v>7</v>
      </c>
      <c r="J33" t="s">
        <v>273</v>
      </c>
    </row>
    <row r="34" spans="1:10" x14ac:dyDescent="0.35">
      <c r="A34" t="s">
        <v>3</v>
      </c>
      <c r="B34" t="s">
        <v>90</v>
      </c>
      <c r="C34" t="s">
        <v>91</v>
      </c>
      <c r="D34" t="s">
        <v>46</v>
      </c>
      <c r="F34" t="s">
        <v>46</v>
      </c>
      <c r="G34" t="s">
        <v>46</v>
      </c>
      <c r="H34" t="s">
        <v>46</v>
      </c>
      <c r="I34" t="s">
        <v>7</v>
      </c>
      <c r="J34" t="s">
        <v>274</v>
      </c>
    </row>
    <row r="35" spans="1:10" x14ac:dyDescent="0.35">
      <c r="A35" t="s">
        <v>3</v>
      </c>
      <c r="B35" t="s">
        <v>92</v>
      </c>
      <c r="C35" t="s">
        <v>93</v>
      </c>
      <c r="D35" t="s">
        <v>46</v>
      </c>
      <c r="F35" t="s">
        <v>46</v>
      </c>
      <c r="G35" t="s">
        <v>46</v>
      </c>
      <c r="H35" t="s">
        <v>46</v>
      </c>
      <c r="I35" t="s">
        <v>7</v>
      </c>
      <c r="J35" t="s">
        <v>275</v>
      </c>
    </row>
    <row r="36" spans="1:10" x14ac:dyDescent="0.35">
      <c r="A36" t="s">
        <v>3</v>
      </c>
      <c r="B36" t="s">
        <v>95</v>
      </c>
      <c r="C36" t="s">
        <v>96</v>
      </c>
      <c r="D36" t="s">
        <v>46</v>
      </c>
      <c r="F36" t="s">
        <v>46</v>
      </c>
      <c r="G36" t="s">
        <v>46</v>
      </c>
      <c r="H36" t="s">
        <v>46</v>
      </c>
      <c r="I36" t="s">
        <v>7</v>
      </c>
      <c r="J36" t="s">
        <v>276</v>
      </c>
    </row>
    <row r="37" spans="1:10" x14ac:dyDescent="0.35">
      <c r="A37" t="s">
        <v>3</v>
      </c>
      <c r="B37" t="s">
        <v>97</v>
      </c>
      <c r="C37" t="s">
        <v>98</v>
      </c>
      <c r="D37" t="s">
        <v>46</v>
      </c>
      <c r="F37" t="s">
        <v>46</v>
      </c>
      <c r="G37" t="s">
        <v>46</v>
      </c>
      <c r="H37" t="s">
        <v>46</v>
      </c>
      <c r="I37" t="s">
        <v>7</v>
      </c>
      <c r="J37" t="s">
        <v>277</v>
      </c>
    </row>
    <row r="38" spans="1:10" x14ac:dyDescent="0.35">
      <c r="A38" t="s">
        <v>3</v>
      </c>
      <c r="B38" t="s">
        <v>99</v>
      </c>
      <c r="C38" t="s">
        <v>100</v>
      </c>
      <c r="D38" t="s">
        <v>46</v>
      </c>
      <c r="F38" t="s">
        <v>46</v>
      </c>
      <c r="G38" t="s">
        <v>46</v>
      </c>
      <c r="H38" t="s">
        <v>46</v>
      </c>
      <c r="I38" t="s">
        <v>7</v>
      </c>
      <c r="J38" t="s">
        <v>278</v>
      </c>
    </row>
    <row r="39" spans="1:10" x14ac:dyDescent="0.35">
      <c r="A39" t="s">
        <v>3</v>
      </c>
      <c r="B39" t="s">
        <v>101</v>
      </c>
      <c r="C39" t="s">
        <v>102</v>
      </c>
      <c r="D39" t="s">
        <v>46</v>
      </c>
      <c r="F39" t="s">
        <v>46</v>
      </c>
      <c r="G39" t="s">
        <v>46</v>
      </c>
      <c r="H39" t="s">
        <v>46</v>
      </c>
      <c r="I39" t="s">
        <v>7</v>
      </c>
      <c r="J39" t="s">
        <v>279</v>
      </c>
    </row>
    <row r="40" spans="1:10" x14ac:dyDescent="0.35">
      <c r="A40" t="s">
        <v>3</v>
      </c>
      <c r="B40" t="s">
        <v>280</v>
      </c>
      <c r="C40" t="s">
        <v>281</v>
      </c>
      <c r="D40" t="s">
        <v>46</v>
      </c>
      <c r="F40" t="s">
        <v>46</v>
      </c>
      <c r="G40" t="s">
        <v>46</v>
      </c>
      <c r="H40" t="s">
        <v>46</v>
      </c>
      <c r="I40" t="s">
        <v>7</v>
      </c>
      <c r="J40" t="s">
        <v>282</v>
      </c>
    </row>
    <row r="41" spans="1:10" x14ac:dyDescent="0.35">
      <c r="A41" t="s">
        <v>3</v>
      </c>
      <c r="B41" t="s">
        <v>283</v>
      </c>
      <c r="C41" t="s">
        <v>284</v>
      </c>
      <c r="D41" t="s">
        <v>46</v>
      </c>
      <c r="G41" t="s">
        <v>46</v>
      </c>
      <c r="H41" t="s">
        <v>46</v>
      </c>
      <c r="I41" t="s">
        <v>8</v>
      </c>
      <c r="J41" t="s">
        <v>285</v>
      </c>
    </row>
    <row r="42" spans="1:10" x14ac:dyDescent="0.35">
      <c r="A42" t="s">
        <v>3</v>
      </c>
      <c r="B42" t="s">
        <v>286</v>
      </c>
      <c r="C42" t="s">
        <v>287</v>
      </c>
      <c r="D42" t="s">
        <v>46</v>
      </c>
      <c r="G42" t="s">
        <v>46</v>
      </c>
      <c r="H42" t="s">
        <v>46</v>
      </c>
      <c r="I42" t="s">
        <v>8</v>
      </c>
      <c r="J42" t="s">
        <v>288</v>
      </c>
    </row>
    <row r="43" spans="1:10" x14ac:dyDescent="0.35">
      <c r="A43" t="s">
        <v>3</v>
      </c>
      <c r="B43" t="s">
        <v>112</v>
      </c>
      <c r="C43" t="s">
        <v>113</v>
      </c>
      <c r="D43" t="s">
        <v>46</v>
      </c>
      <c r="G43" t="s">
        <v>46</v>
      </c>
      <c r="H43" t="s">
        <v>46</v>
      </c>
      <c r="I43" t="s">
        <v>8</v>
      </c>
      <c r="J43" t="s">
        <v>289</v>
      </c>
    </row>
    <row r="44" spans="1:10" x14ac:dyDescent="0.35">
      <c r="A44" t="s">
        <v>3</v>
      </c>
      <c r="B44" t="s">
        <v>59</v>
      </c>
      <c r="C44" t="s">
        <v>60</v>
      </c>
      <c r="F44" t="s">
        <v>46</v>
      </c>
      <c r="I44" t="s">
        <v>7</v>
      </c>
      <c r="J44" t="s">
        <v>290</v>
      </c>
    </row>
    <row r="45" spans="1:10" x14ac:dyDescent="0.35">
      <c r="A45" t="s">
        <v>3</v>
      </c>
      <c r="B45" t="s">
        <v>62</v>
      </c>
      <c r="C45" t="s">
        <v>63</v>
      </c>
      <c r="G45" t="s">
        <v>46</v>
      </c>
      <c r="I45" t="s">
        <v>8</v>
      </c>
      <c r="J45" t="s">
        <v>291</v>
      </c>
    </row>
    <row r="46" spans="1:10" x14ac:dyDescent="0.35">
      <c r="A46" t="s">
        <v>3</v>
      </c>
      <c r="B46" t="s">
        <v>64</v>
      </c>
      <c r="C46" t="s">
        <v>65</v>
      </c>
      <c r="D46" t="s">
        <v>46</v>
      </c>
      <c r="H46" t="s">
        <v>46</v>
      </c>
      <c r="J46" t="s">
        <v>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"/>
  <sheetViews>
    <sheetView workbookViewId="0">
      <selection activeCell="E21" sqref="E21"/>
    </sheetView>
  </sheetViews>
  <sheetFormatPr defaultRowHeight="14.5" x14ac:dyDescent="0.35"/>
  <cols>
    <col min="1" max="1" width="12" customWidth="1"/>
    <col min="2" max="2" width="14" customWidth="1"/>
    <col min="3" max="5" width="16" customWidth="1"/>
    <col min="6" max="6" width="14" customWidth="1"/>
    <col min="7" max="7" width="16" customWidth="1"/>
    <col min="8" max="8" width="70" customWidth="1"/>
  </cols>
  <sheetData>
    <row r="1" spans="1:8" ht="15.5" customHeight="1" x14ac:dyDescent="0.35">
      <c r="A1" s="4" t="s">
        <v>293</v>
      </c>
    </row>
    <row r="2" spans="1:8" x14ac:dyDescent="0.35">
      <c r="A2" s="5" t="s">
        <v>294</v>
      </c>
    </row>
    <row r="4" spans="1:8" x14ac:dyDescent="0.35">
      <c r="A4" s="6" t="s">
        <v>295</v>
      </c>
      <c r="B4" s="6" t="s">
        <v>296</v>
      </c>
      <c r="C4" s="6" t="s">
        <v>297</v>
      </c>
      <c r="D4" s="6" t="s">
        <v>298</v>
      </c>
      <c r="E4" s="6" t="s">
        <v>299</v>
      </c>
      <c r="F4" s="6" t="s">
        <v>34</v>
      </c>
      <c r="G4" s="6" t="s">
        <v>300</v>
      </c>
      <c r="H4" s="6" t="s">
        <v>11</v>
      </c>
    </row>
    <row r="5" spans="1:8" x14ac:dyDescent="0.35">
      <c r="A5" t="s">
        <v>6</v>
      </c>
      <c r="B5" t="s">
        <v>16</v>
      </c>
      <c r="C5">
        <v>1</v>
      </c>
      <c r="D5">
        <v>1</v>
      </c>
      <c r="E5" t="s">
        <v>301</v>
      </c>
      <c r="F5">
        <v>0</v>
      </c>
      <c r="G5">
        <v>0</v>
      </c>
      <c r="H5" t="s">
        <v>302</v>
      </c>
    </row>
    <row r="6" spans="1:8" x14ac:dyDescent="0.35">
      <c r="A6" t="s">
        <v>7</v>
      </c>
      <c r="B6" t="s">
        <v>17</v>
      </c>
      <c r="C6">
        <v>6</v>
      </c>
      <c r="E6" t="s">
        <v>301</v>
      </c>
      <c r="F6">
        <v>0</v>
      </c>
      <c r="G6">
        <v>2400</v>
      </c>
      <c r="H6" t="s">
        <v>303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/>
  </sheetViews>
  <sheetFormatPr defaultRowHeight="14.5" x14ac:dyDescent="0.35"/>
  <cols>
    <col min="1" max="1" width="16" customWidth="1"/>
    <col min="2" max="2" width="28" customWidth="1"/>
    <col min="3" max="4" width="11" customWidth="1"/>
    <col min="5" max="5" width="14" customWidth="1"/>
  </cols>
  <sheetData>
    <row r="1" spans="1:5" ht="15.5" customHeight="1" x14ac:dyDescent="0.35">
      <c r="A1" s="4" t="s">
        <v>304</v>
      </c>
    </row>
    <row r="2" spans="1:5" x14ac:dyDescent="0.35">
      <c r="A2" s="5" t="s">
        <v>305</v>
      </c>
    </row>
    <row r="4" spans="1:5" x14ac:dyDescent="0.35">
      <c r="A4" s="6" t="s">
        <v>306</v>
      </c>
      <c r="B4" s="6" t="s">
        <v>307</v>
      </c>
      <c r="C4" s="6" t="s">
        <v>6</v>
      </c>
      <c r="D4" s="6" t="s">
        <v>7</v>
      </c>
      <c r="E4" s="6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ACCOUNTSHQ</vt:lpstr>
      <vt:lpstr>Countries</vt:lpstr>
      <vt:lpstr>RWAHQ</vt:lpstr>
      <vt:lpstr>HOAHQ</vt:lpstr>
      <vt:lpstr>BOOKSHQ</vt:lpstr>
      <vt:lpstr>Tiers_tradeHQ</vt:lpstr>
      <vt:lpstr>PlanFeatures_tradeHQ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 Sanghi</cp:lastModifiedBy>
  <dcterms:created xsi:type="dcterms:W3CDTF">2026-05-20T10:42:45Z</dcterms:created>
  <dcterms:modified xsi:type="dcterms:W3CDTF">2026-06-09T07:40:16Z</dcterms:modified>
</cp:coreProperties>
</file>